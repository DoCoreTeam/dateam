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filterPrivacy="1"/>
  <xr:revisionPtr revIDLastSave="0" documentId="8_{C3CB6A69-C6EF-8D4F-8609-B08D22164860}" xr6:coauthVersionLast="47" xr6:coauthVersionMax="47" xr10:uidLastSave="{00000000-0000-0000-0000-000000000000}"/>
  <bookViews>
    <workbookView xWindow="36000" yWindow="-5200" windowWidth="29040" windowHeight="15720" xr2:uid="{00000000-000D-0000-FFFF-FFFF00000000}"/>
  </bookViews>
  <sheets>
    <sheet name="3안 (연간) (2)" sheetId="8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82" l="1"/>
  <c r="H22" i="82" s="1"/>
  <c r="I4" i="82"/>
  <c r="H23" i="82" l="1"/>
</calcChain>
</file>

<file path=xl/sharedStrings.xml><?xml version="1.0" encoding="utf-8"?>
<sst xmlns="http://schemas.openxmlformats.org/spreadsheetml/2006/main" count="62" uniqueCount="54">
  <si>
    <t>단가</t>
    <phoneticPr fontId="3" type="noConversion"/>
  </si>
  <si>
    <t>세부 내용</t>
    <phoneticPr fontId="3" type="noConversion"/>
  </si>
  <si>
    <t>-</t>
    <phoneticPr fontId="3" type="noConversion"/>
  </si>
  <si>
    <t>품목</t>
    <phoneticPr fontId="3" type="noConversion"/>
  </si>
  <si>
    <t>비고</t>
    <phoneticPr fontId="3" type="noConversion"/>
  </si>
  <si>
    <t>소계</t>
    <phoneticPr fontId="6" type="noConversion"/>
  </si>
  <si>
    <t>견    적    서</t>
    <phoneticPr fontId="6" type="noConversion"/>
  </si>
  <si>
    <t>거래에 감사드리며 아래와 같이 견적합니다.</t>
    <phoneticPr fontId="6" type="noConversion"/>
  </si>
  <si>
    <t>1. 견적 금액 : 하기와 같음.</t>
    <phoneticPr fontId="6" type="noConversion"/>
  </si>
  <si>
    <t>2. 납      기 : 귀사 지정일</t>
  </si>
  <si>
    <t>3. 납품장소 : 귀사 지정 장소</t>
  </si>
  <si>
    <t>4. 견적유효기간 : 견적일로부터 1개월</t>
    <phoneticPr fontId="6" type="noConversion"/>
  </si>
  <si>
    <t>기타</t>
    <phoneticPr fontId="3" type="noConversion"/>
  </si>
  <si>
    <t>구분</t>
    <phoneticPr fontId="3" type="noConversion"/>
  </si>
  <si>
    <t>수량</t>
    <phoneticPr fontId="3" type="noConversion"/>
  </si>
  <si>
    <t>AhnLabCloudMate
AI Solution</t>
    <phoneticPr fontId="3" type="noConversion"/>
  </si>
  <si>
    <t>상호</t>
    <phoneticPr fontId="3" type="noConversion"/>
  </si>
  <si>
    <t>주식회사 안랩클라우드메이트</t>
    <phoneticPr fontId="6" type="noConversion"/>
  </si>
  <si>
    <t>대표이사</t>
    <phoneticPr fontId="3" type="noConversion"/>
  </si>
  <si>
    <t>주소</t>
    <phoneticPr fontId="3" type="noConversion"/>
  </si>
  <si>
    <t>Tel</t>
    <phoneticPr fontId="3" type="noConversion"/>
  </si>
  <si>
    <t>Fax</t>
    <phoneticPr fontId="3" type="noConversion"/>
  </si>
  <si>
    <t>Fax : (02)2069-1979</t>
    <phoneticPr fontId="6" type="noConversion"/>
  </si>
  <si>
    <t>영업 담당</t>
    <phoneticPr fontId="3" type="noConversion"/>
  </si>
  <si>
    <t>e-Mail</t>
    <phoneticPr fontId="3" type="noConversion"/>
  </si>
  <si>
    <t>Tel  : (02)2069-1980</t>
    <phoneticPr fontId="6" type="noConversion"/>
  </si>
  <si>
    <t>내용</t>
    <phoneticPr fontId="3" type="noConversion"/>
  </si>
  <si>
    <t>Basic</t>
    <phoneticPr fontId="3" type="noConversion"/>
  </si>
  <si>
    <t>Professional</t>
    <phoneticPr fontId="3" type="noConversion"/>
  </si>
  <si>
    <t>추후 비용 협의</t>
    <phoneticPr fontId="3" type="noConversion"/>
  </si>
  <si>
    <t>1. 라이선스 및 유지보수 비용</t>
    <phoneticPr fontId="3" type="noConversion"/>
  </si>
  <si>
    <t>제안가(연)</t>
    <phoneticPr fontId="3" type="noConversion"/>
  </si>
  <si>
    <t>3. 기술지원 서비스</t>
    <phoneticPr fontId="3" type="noConversion"/>
  </si>
  <si>
    <t xml:space="preserve">- 기술 문의 응대 (24/7) </t>
    <phoneticPr fontId="3" type="noConversion"/>
  </si>
  <si>
    <t>- SSO 연동
- 고객 요청에 따른 내부 주요정보(CI엔진) 탐지 엔진 학습 및 업데이트
- Basic, Professional Service 외 모든 서비스</t>
    <phoneticPr fontId="3" type="noConversion"/>
  </si>
  <si>
    <t>세부정보</t>
    <phoneticPr fontId="3" type="noConversion"/>
  </si>
  <si>
    <t>단가(월)</t>
    <phoneticPr fontId="3" type="noConversion"/>
  </si>
  <si>
    <t>단위</t>
    <phoneticPr fontId="3" type="noConversion"/>
  </si>
  <si>
    <t>단가(5년)</t>
    <phoneticPr fontId="3" type="noConversion"/>
  </si>
  <si>
    <t>AhnLabCloudMate
Cloud Service
(AWS, Azure)</t>
    <phoneticPr fontId="3" type="noConversion"/>
  </si>
  <si>
    <t>도입연도 비용</t>
    <phoneticPr fontId="3" type="noConversion"/>
  </si>
  <si>
    <t>5년 비용</t>
    <phoneticPr fontId="3" type="noConversion"/>
  </si>
  <si>
    <t>(환율 1,400원/USD 기준)</t>
    <phoneticPr fontId="3" type="noConversion"/>
  </si>
  <si>
    <t>클라우드 1년 사용료</t>
    <phoneticPr fontId="3" type="noConversion"/>
  </si>
  <si>
    <t>클라우드 5년 사용료</t>
    <phoneticPr fontId="3" type="noConversion"/>
  </si>
  <si>
    <t>기본 사항</t>
    <phoneticPr fontId="3" type="noConversion"/>
  </si>
  <si>
    <t>별도 Custom</t>
    <phoneticPr fontId="3" type="noConversion"/>
  </si>
  <si>
    <t>2. 클라우드 서버 비용(500User 기준)</t>
    <phoneticPr fontId="3" type="noConversion"/>
  </si>
  <si>
    <r>
      <t xml:space="preserve">- 설치 및 환경 설정
- 기술 문의 응대 (9 to 6)
- </t>
    </r>
    <r>
      <rPr>
        <sz val="10"/>
        <rFont val="Malgun Gothic Semilight"/>
        <family val="3"/>
        <charset val="129"/>
      </rPr>
      <t>Secure Web Gateway, 웹 콘솔 업데이트
- Prompt Injection엔진, 개인정보엔진 업데이트
- 클라우드 서버 구축 지원</t>
    </r>
    <phoneticPr fontId="3" type="noConversion"/>
  </si>
  <si>
    <t>라이선스 비용의 5% 청구</t>
    <phoneticPr fontId="3" type="noConversion"/>
  </si>
  <si>
    <r>
      <t xml:space="preserve">1. 본 견적은 신세계그룹에 한하여 제공되는 특별 견적입니다.
</t>
    </r>
    <r>
      <rPr>
        <b/>
        <sz val="10"/>
        <rFont val="Malgun Gothic Semilight"/>
        <family val="3"/>
        <charset val="129"/>
      </rPr>
      <t>2. 라이선스 갱신 시 초기 도입 비용의 50% 가격 적용됩니다.</t>
    </r>
    <r>
      <rPr>
        <sz val="10"/>
        <rFont val="Malgun Gothic Semilight"/>
        <family val="3"/>
        <charset val="129"/>
      </rPr>
      <t xml:space="preserve">
3. 해당 견적은 60개월 금액입니다.
4. 클라우드 견적은 예상 비용으로,  ACME를 통해 도입 시 월별 청구되는 금액은 실제 클라우드 사용량에 따라 산정되며 매월 그 금액은 변동 될 수 있습니다.
5. 구축 비용은 실제 구성 범위 및 요청 내용에 따라 별도 청구됩니다.
6. 본 견적에 포함되지 않은 추가 사용 분은 별도로 비용이 청구됩니다.
7. 대급지금방식은 일시납 형태이며, 솔루션 도입 후 익월 20일 현금 지급(계산서 발행일로부터 30일 이내)을 요청합니다.
8. 문의 사항의 경우 하기 담당자에게 연락주시기 바랍니다.
   - 서한별 매니저 /010-5050-5316 / hanbyeol.seo@ahnlabcloudmate.com</t>
    </r>
    <phoneticPr fontId="3" type="noConversion"/>
  </si>
  <si>
    <t>김 형 준             (직인생략)</t>
    <phoneticPr fontId="3" type="noConversion"/>
  </si>
  <si>
    <t>경기도 과천시 과천대로 7길 20 스마트케이 A동 8층</t>
    <phoneticPr fontId="6" type="noConversion"/>
  </si>
  <si>
    <t>그룹 귀중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</si>
</sst>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_-;_-@_-"/>
    <numFmt numFmtId="177" formatCode="#,##0_ "/>
    <numFmt numFmtId="178" formatCode="&quot;견적 일자 :&quot;\ yyyy/mm/dd"/>
  </numFmts>
  <fonts count="2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Arial"/>
      <family val="2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name val="Malgun Gothic Semilight"/>
      <family val="2"/>
      <charset val="129"/>
    </font>
    <font>
      <b/>
      <sz val="26"/>
      <color indexed="9"/>
      <name val="Malgun Gothic Semilight"/>
      <family val="2"/>
      <charset val="129"/>
    </font>
    <font>
      <b/>
      <sz val="26"/>
      <color indexed="9"/>
      <name val="Malgun Gothic Semilight"/>
      <family val="3"/>
      <charset val="129"/>
    </font>
    <font>
      <sz val="11"/>
      <name val="Malgun Gothic Semilight"/>
      <family val="3"/>
      <charset val="129"/>
    </font>
    <font>
      <b/>
      <u/>
      <sz val="18"/>
      <name val="Malgun Gothic Semilight"/>
      <family val="3"/>
      <charset val="129"/>
    </font>
    <font>
      <sz val="18"/>
      <name val="Malgun Gothic Semilight"/>
      <family val="3"/>
      <charset val="129"/>
    </font>
    <font>
      <b/>
      <u/>
      <sz val="10"/>
      <name val="Malgun Gothic Semilight"/>
      <family val="3"/>
      <charset val="129"/>
    </font>
    <font>
      <sz val="12"/>
      <name val="Malgun Gothic Semilight"/>
      <family val="3"/>
      <charset val="129"/>
    </font>
    <font>
      <sz val="10"/>
      <name val="Malgun Gothic Semilight"/>
      <family val="3"/>
      <charset val="129"/>
    </font>
    <font>
      <u/>
      <sz val="11"/>
      <color theme="10"/>
      <name val="Malgun Gothic Semilight"/>
      <family val="3"/>
      <charset val="129"/>
    </font>
    <font>
      <b/>
      <sz val="11"/>
      <color indexed="9"/>
      <name val="Malgun Gothic Semilight"/>
      <family val="3"/>
      <charset val="129"/>
    </font>
    <font>
      <b/>
      <sz val="10"/>
      <name val="Malgun Gothic Semilight"/>
      <family val="3"/>
      <charset val="129"/>
    </font>
    <font>
      <sz val="10"/>
      <name val="Malgun Gothic Semilight"/>
      <family val="2"/>
      <charset val="129"/>
    </font>
    <font>
      <b/>
      <sz val="11"/>
      <color indexed="9"/>
      <name val="Malgun Gothic Semilight"/>
      <family val="2"/>
      <charset val="129"/>
    </font>
    <font>
      <b/>
      <sz val="11"/>
      <name val="Malgun Gothic Semilight"/>
      <family val="2"/>
      <charset val="129"/>
    </font>
    <font>
      <sz val="10"/>
      <color theme="8"/>
      <name val="Malgun Gothic Semilight"/>
      <family val="2"/>
      <charset val="129"/>
    </font>
    <font>
      <sz val="10"/>
      <color theme="8"/>
      <name val="Malgun Gothic Semilight"/>
      <family val="3"/>
      <charset val="129"/>
    </font>
    <font>
      <sz val="10"/>
      <color theme="5"/>
      <name val="Malgun Gothic Semilight"/>
      <family val="3"/>
      <charset val="129"/>
    </font>
    <font>
      <b/>
      <sz val="10"/>
      <name val="Malgun Gothic Semilight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</borders>
  <cellStyleXfs count="12">
    <xf numFmtId="0" fontId="0" fillId="0" borderId="0"/>
    <xf numFmtId="0" fontId="4" fillId="0" borderId="0">
      <alignment vertical="center"/>
    </xf>
    <xf numFmtId="0" fontId="5" fillId="0" borderId="0"/>
    <xf numFmtId="176" fontId="5" fillId="0" borderId="0" applyFont="0" applyFill="0" applyBorder="0" applyAlignment="0" applyProtection="0">
      <alignment vertical="center"/>
    </xf>
    <xf numFmtId="0" fontId="5" fillId="0" borderId="0"/>
    <xf numFmtId="0" fontId="7" fillId="0" borderId="0"/>
    <xf numFmtId="176" fontId="7" fillId="0" borderId="0" applyFont="0" applyFill="0" applyBorder="0" applyAlignment="0" applyProtection="0"/>
    <xf numFmtId="0" fontId="2" fillId="0" borderId="0">
      <alignment vertical="center"/>
    </xf>
    <xf numFmtId="0" fontId="8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</cellStyleXfs>
  <cellXfs count="134">
    <xf numFmtId="0" fontId="0" fillId="0" borderId="0" xfId="0"/>
    <xf numFmtId="0" fontId="10" fillId="0" borderId="0" xfId="2" applyFont="1"/>
    <xf numFmtId="0" fontId="10" fillId="0" borderId="0" xfId="2" applyFont="1" applyAlignment="1">
      <alignment horizontal="center"/>
    </xf>
    <xf numFmtId="0" fontId="10" fillId="0" borderId="0" xfId="2" applyFont="1" applyAlignment="1">
      <alignment vertical="center"/>
    </xf>
    <xf numFmtId="0" fontId="13" fillId="0" borderId="0" xfId="0" applyFont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2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7" fillId="0" borderId="0" xfId="2" applyFont="1" applyAlignment="1">
      <alignment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38" fontId="18" fillId="0" borderId="2" xfId="3" applyNumberFormat="1" applyFont="1" applyFill="1" applyBorder="1" applyAlignment="1">
      <alignment horizontal="right" vertical="center" indent="1"/>
    </xf>
    <xf numFmtId="38" fontId="18" fillId="0" borderId="2" xfId="3" applyNumberFormat="1" applyFont="1" applyFill="1" applyBorder="1" applyAlignment="1">
      <alignment horizontal="center" vertical="center"/>
    </xf>
    <xf numFmtId="38" fontId="18" fillId="0" borderId="5" xfId="3" applyNumberFormat="1" applyFont="1" applyFill="1" applyBorder="1" applyAlignment="1">
      <alignment horizontal="right" vertical="center" indent="1"/>
    </xf>
    <xf numFmtId="176" fontId="18" fillId="0" borderId="13" xfId="3" applyFont="1" applyFill="1" applyBorder="1" applyAlignment="1">
      <alignment horizontal="center" vertical="center" wrapText="1"/>
    </xf>
    <xf numFmtId="38" fontId="21" fillId="0" borderId="3" xfId="0" applyNumberFormat="1" applyFont="1" applyBorder="1" applyAlignment="1">
      <alignment horizontal="right" vertical="center" indent="1"/>
    </xf>
    <xf numFmtId="177" fontId="18" fillId="0" borderId="6" xfId="0" applyNumberFormat="1" applyFont="1" applyBorder="1" applyAlignment="1">
      <alignment horizontal="center" vertical="center"/>
    </xf>
    <xf numFmtId="38" fontId="21" fillId="3" borderId="27" xfId="0" applyNumberFormat="1" applyFont="1" applyFill="1" applyBorder="1" applyAlignment="1">
      <alignment horizontal="right" vertical="center" indent="1"/>
    </xf>
    <xf numFmtId="177" fontId="21" fillId="3" borderId="28" xfId="0" applyNumberFormat="1" applyFont="1" applyFill="1" applyBorder="1" applyAlignment="1">
      <alignment horizontal="center" vertical="center"/>
    </xf>
    <xf numFmtId="38" fontId="21" fillId="3" borderId="22" xfId="0" applyNumberFormat="1" applyFont="1" applyFill="1" applyBorder="1" applyAlignment="1">
      <alignment horizontal="right" vertical="center" indent="1"/>
    </xf>
    <xf numFmtId="0" fontId="21" fillId="3" borderId="19" xfId="0" applyFont="1" applyFill="1" applyBorder="1" applyAlignment="1">
      <alignment vertical="center"/>
    </xf>
    <xf numFmtId="0" fontId="13" fillId="0" borderId="0" xfId="8" applyFont="1" applyAlignment="1">
      <alignment vertic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2" fillId="0" borderId="5" xfId="0" quotePrefix="1" applyFont="1" applyBorder="1" applyAlignment="1">
      <alignment horizontal="left" vertical="center" wrapText="1" indent="1"/>
    </xf>
    <xf numFmtId="0" fontId="23" fillId="2" borderId="15" xfId="0" applyFont="1" applyFill="1" applyBorder="1" applyAlignment="1">
      <alignment horizontal="center" vertical="center"/>
    </xf>
    <xf numFmtId="0" fontId="24" fillId="0" borderId="0" xfId="2" applyFont="1"/>
    <xf numFmtId="0" fontId="20" fillId="2" borderId="39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/>
    </xf>
    <xf numFmtId="0" fontId="24" fillId="0" borderId="0" xfId="8" applyFont="1"/>
    <xf numFmtId="38" fontId="18" fillId="0" borderId="1" xfId="3" applyNumberFormat="1" applyFont="1" applyFill="1" applyBorder="1" applyAlignment="1">
      <alignment horizontal="right" vertical="center" indent="1"/>
    </xf>
    <xf numFmtId="38" fontId="18" fillId="0" borderId="1" xfId="3" applyNumberFormat="1" applyFont="1" applyFill="1" applyBorder="1" applyAlignment="1">
      <alignment horizontal="center" vertical="center"/>
    </xf>
    <xf numFmtId="0" fontId="18" fillId="0" borderId="12" xfId="0" quotePrefix="1" applyFont="1" applyBorder="1" applyAlignment="1">
      <alignment vertical="center" wrapText="1"/>
    </xf>
    <xf numFmtId="177" fontId="18" fillId="0" borderId="34" xfId="0" applyNumberFormat="1" applyFont="1" applyBorder="1" applyAlignment="1">
      <alignment horizontal="center" vertical="center" wrapText="1"/>
    </xf>
    <xf numFmtId="178" fontId="10" fillId="0" borderId="0" xfId="2" applyNumberFormat="1" applyFont="1"/>
    <xf numFmtId="0" fontId="18" fillId="0" borderId="42" xfId="0" applyFont="1" applyBorder="1" applyAlignment="1">
      <alignment horizontal="center" vertical="center" wrapText="1"/>
    </xf>
    <xf numFmtId="0" fontId="18" fillId="0" borderId="21" xfId="0" quotePrefix="1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38" fontId="22" fillId="0" borderId="5" xfId="0" applyNumberFormat="1" applyFont="1" applyBorder="1" applyAlignment="1">
      <alignment horizontal="right" vertical="center" indent="1"/>
    </xf>
    <xf numFmtId="38" fontId="22" fillId="0" borderId="5" xfId="0" applyNumberFormat="1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 wrapText="1"/>
    </xf>
    <xf numFmtId="0" fontId="18" fillId="0" borderId="47" xfId="0" quotePrefix="1" applyFont="1" applyBorder="1" applyAlignment="1">
      <alignment vertical="center" wrapText="1"/>
    </xf>
    <xf numFmtId="38" fontId="22" fillId="0" borderId="46" xfId="0" applyNumberFormat="1" applyFont="1" applyBorder="1" applyAlignment="1">
      <alignment horizontal="right" vertical="center" indent="1"/>
    </xf>
    <xf numFmtId="38" fontId="22" fillId="0" borderId="46" xfId="0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 wrapText="1"/>
    </xf>
    <xf numFmtId="177" fontId="18" fillId="0" borderId="13" xfId="0" applyNumberFormat="1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18" fillId="0" borderId="49" xfId="0" quotePrefix="1" applyFont="1" applyBorder="1" applyAlignment="1">
      <alignment vertical="center" wrapText="1"/>
    </xf>
    <xf numFmtId="38" fontId="22" fillId="0" borderId="48" xfId="0" applyNumberFormat="1" applyFont="1" applyBorder="1" applyAlignment="1">
      <alignment horizontal="right" vertical="center" indent="1"/>
    </xf>
    <xf numFmtId="38" fontId="22" fillId="0" borderId="48" xfId="0" applyNumberFormat="1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38" fontId="22" fillId="0" borderId="22" xfId="0" applyNumberFormat="1" applyFont="1" applyBorder="1" applyAlignment="1">
      <alignment horizontal="right" vertical="center" indent="1"/>
    </xf>
    <xf numFmtId="38" fontId="22" fillId="0" borderId="22" xfId="0" applyNumberFormat="1" applyFont="1" applyBorder="1" applyAlignment="1">
      <alignment horizontal="center" vertical="center"/>
    </xf>
    <xf numFmtId="38" fontId="21" fillId="3" borderId="48" xfId="0" applyNumberFormat="1" applyFont="1" applyFill="1" applyBorder="1" applyAlignment="1">
      <alignment horizontal="right" vertical="center" indent="1"/>
    </xf>
    <xf numFmtId="177" fontId="21" fillId="3" borderId="11" xfId="0" applyNumberFormat="1" applyFont="1" applyFill="1" applyBorder="1" applyAlignment="1">
      <alignment vertical="center"/>
    </xf>
    <xf numFmtId="177" fontId="21" fillId="3" borderId="23" xfId="0" applyNumberFormat="1" applyFont="1" applyFill="1" applyBorder="1" applyAlignment="1">
      <alignment vertical="center"/>
    </xf>
    <xf numFmtId="0" fontId="21" fillId="4" borderId="0" xfId="0" applyFont="1" applyFill="1" applyAlignment="1">
      <alignment horizontal="center" vertical="center"/>
    </xf>
    <xf numFmtId="38" fontId="21" fillId="4" borderId="0" xfId="0" applyNumberFormat="1" applyFont="1" applyFill="1" applyAlignment="1">
      <alignment horizontal="right" vertical="center" indent="1"/>
    </xf>
    <xf numFmtId="0" fontId="21" fillId="4" borderId="0" xfId="0" applyFont="1" applyFill="1" applyAlignment="1">
      <alignment vertical="center"/>
    </xf>
    <xf numFmtId="0" fontId="13" fillId="4" borderId="0" xfId="8" applyFont="1" applyFill="1" applyAlignment="1">
      <alignment vertical="center"/>
    </xf>
    <xf numFmtId="0" fontId="28" fillId="0" borderId="0" xfId="8" applyFont="1" applyAlignment="1">
      <alignment horizontal="left" vertical="center" indent="1"/>
    </xf>
    <xf numFmtId="38" fontId="18" fillId="0" borderId="43" xfId="3" applyNumberFormat="1" applyFont="1" applyFill="1" applyBorder="1" applyAlignment="1">
      <alignment horizontal="center" vertical="center"/>
    </xf>
    <xf numFmtId="0" fontId="20" fillId="2" borderId="37" xfId="0" applyFont="1" applyFill="1" applyBorder="1" applyAlignment="1">
      <alignment horizontal="center" vertical="center"/>
    </xf>
    <xf numFmtId="0" fontId="20" fillId="2" borderId="38" xfId="0" applyFont="1" applyFill="1" applyBorder="1" applyAlignment="1">
      <alignment horizontal="center" vertical="center"/>
    </xf>
    <xf numFmtId="0" fontId="13" fillId="0" borderId="38" xfId="0" applyFont="1" applyBorder="1" applyAlignment="1">
      <alignment horizontal="left" vertical="center" indent="1"/>
    </xf>
    <xf numFmtId="0" fontId="13" fillId="0" borderId="36" xfId="0" applyFont="1" applyBorder="1" applyAlignment="1">
      <alignment horizontal="left" vertical="center" indent="1"/>
    </xf>
    <xf numFmtId="176" fontId="18" fillId="0" borderId="59" xfId="3" applyFont="1" applyFill="1" applyBorder="1" applyAlignment="1">
      <alignment horizontal="center" vertical="center" wrapText="1"/>
    </xf>
    <xf numFmtId="176" fontId="18" fillId="0" borderId="13" xfId="3" applyFont="1" applyFill="1" applyBorder="1" applyAlignment="1">
      <alignment horizontal="center" vertical="center" wrapText="1"/>
    </xf>
    <xf numFmtId="0" fontId="11" fillId="2" borderId="8" xfId="2" applyFont="1" applyFill="1" applyBorder="1" applyAlignment="1">
      <alignment horizontal="center"/>
    </xf>
    <xf numFmtId="0" fontId="12" fillId="2" borderId="9" xfId="2" applyFont="1" applyFill="1" applyBorder="1" applyAlignment="1">
      <alignment horizontal="center"/>
    </xf>
    <xf numFmtId="0" fontId="12" fillId="2" borderId="10" xfId="2" applyFont="1" applyFill="1" applyBorder="1" applyAlignment="1">
      <alignment horizontal="center"/>
    </xf>
    <xf numFmtId="0" fontId="23" fillId="2" borderId="37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left" vertical="center" indent="1"/>
    </xf>
    <xf numFmtId="0" fontId="20" fillId="2" borderId="36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21" fillId="3" borderId="25" xfId="0" applyFont="1" applyFill="1" applyBorder="1" applyAlignment="1">
      <alignment horizontal="center" vertical="center"/>
    </xf>
    <xf numFmtId="0" fontId="21" fillId="3" borderId="26" xfId="0" applyFont="1" applyFill="1" applyBorder="1" applyAlignment="1">
      <alignment horizontal="center" vertical="center"/>
    </xf>
    <xf numFmtId="0" fontId="19" fillId="0" borderId="37" xfId="11" applyFont="1" applyBorder="1" applyAlignment="1">
      <alignment horizontal="left" vertical="center" indent="1"/>
    </xf>
    <xf numFmtId="0" fontId="19" fillId="0" borderId="38" xfId="11" applyFont="1" applyBorder="1" applyAlignment="1">
      <alignment horizontal="left" vertical="center" indent="1"/>
    </xf>
    <xf numFmtId="0" fontId="19" fillId="0" borderId="36" xfId="11" applyFont="1" applyBorder="1" applyAlignment="1">
      <alignment horizontal="left" vertical="center" indent="1"/>
    </xf>
    <xf numFmtId="0" fontId="18" fillId="0" borderId="18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1" fillId="0" borderId="54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3" borderId="51" xfId="0" applyFont="1" applyFill="1" applyBorder="1" applyAlignment="1">
      <alignment horizontal="center" vertical="center"/>
    </xf>
    <xf numFmtId="0" fontId="21" fillId="3" borderId="52" xfId="0" applyFont="1" applyFill="1" applyBorder="1" applyAlignment="1">
      <alignment horizontal="center" vertical="center"/>
    </xf>
    <xf numFmtId="0" fontId="21" fillId="3" borderId="53" xfId="0" applyFont="1" applyFill="1" applyBorder="1" applyAlignment="1">
      <alignment horizontal="center" vertical="center"/>
    </xf>
    <xf numFmtId="0" fontId="22" fillId="0" borderId="39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177" fontId="18" fillId="0" borderId="6" xfId="0" applyNumberFormat="1" applyFont="1" applyBorder="1" applyAlignment="1">
      <alignment horizontal="center" vertical="center" wrapText="1"/>
    </xf>
    <xf numFmtId="177" fontId="18" fillId="0" borderId="13" xfId="0" applyNumberFormat="1" applyFont="1" applyBorder="1" applyAlignment="1">
      <alignment horizontal="center" vertical="center" wrapText="1"/>
    </xf>
    <xf numFmtId="177" fontId="18" fillId="0" borderId="50" xfId="0" applyNumberFormat="1" applyFont="1" applyBorder="1" applyAlignment="1">
      <alignment horizontal="center" vertical="center" wrapText="1"/>
    </xf>
    <xf numFmtId="177" fontId="18" fillId="0" borderId="23" xfId="0" applyNumberFormat="1" applyFont="1" applyBorder="1" applyAlignment="1">
      <alignment horizontal="center" vertical="center" wrapText="1"/>
    </xf>
    <xf numFmtId="0" fontId="21" fillId="3" borderId="57" xfId="0" applyFont="1" applyFill="1" applyBorder="1" applyAlignment="1">
      <alignment horizontal="center" vertical="center"/>
    </xf>
    <xf numFmtId="0" fontId="21" fillId="3" borderId="58" xfId="0" applyFont="1" applyFill="1" applyBorder="1" applyAlignment="1">
      <alignment horizontal="center" vertical="center"/>
    </xf>
    <xf numFmtId="0" fontId="21" fillId="3" borderId="49" xfId="0" applyFont="1" applyFill="1" applyBorder="1" applyAlignment="1">
      <alignment horizontal="center" vertical="center"/>
    </xf>
    <xf numFmtId="0" fontId="18" fillId="0" borderId="44" xfId="0" quotePrefix="1" applyFont="1" applyBorder="1" applyAlignment="1">
      <alignment vertical="center" wrapText="1"/>
    </xf>
    <xf numFmtId="0" fontId="18" fillId="0" borderId="20" xfId="0" quotePrefix="1" applyFont="1" applyBorder="1" applyAlignment="1">
      <alignment vertical="center"/>
    </xf>
    <xf numFmtId="0" fontId="18" fillId="0" borderId="21" xfId="0" quotePrefix="1" applyFont="1" applyBorder="1" applyAlignment="1">
      <alignment vertical="center"/>
    </xf>
    <xf numFmtId="38" fontId="18" fillId="0" borderId="44" xfId="0" applyNumberFormat="1" applyFont="1" applyBorder="1" applyAlignment="1">
      <alignment horizontal="center" vertical="center"/>
    </xf>
    <xf numFmtId="38" fontId="18" fillId="0" borderId="45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20" fillId="2" borderId="32" xfId="0" applyFont="1" applyFill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40" xfId="0" applyFont="1" applyFill="1" applyBorder="1" applyAlignment="1">
      <alignment horizontal="center" vertical="center"/>
    </xf>
    <xf numFmtId="0" fontId="22" fillId="0" borderId="37" xfId="0" quotePrefix="1" applyFont="1" applyBorder="1" applyAlignment="1">
      <alignment vertical="center" wrapText="1"/>
    </xf>
    <xf numFmtId="0" fontId="18" fillId="0" borderId="38" xfId="0" applyFont="1" applyBorder="1" applyAlignment="1">
      <alignment vertical="center"/>
    </xf>
    <xf numFmtId="0" fontId="18" fillId="0" borderId="36" xfId="0" applyFont="1" applyBorder="1" applyAlignment="1">
      <alignment vertical="center"/>
    </xf>
    <xf numFmtId="38" fontId="18" fillId="0" borderId="37" xfId="0" applyNumberFormat="1" applyFont="1" applyBorder="1" applyAlignment="1">
      <alignment horizontal="center" vertical="center" wrapText="1"/>
    </xf>
    <xf numFmtId="38" fontId="18" fillId="0" borderId="41" xfId="0" applyNumberFormat="1" applyFont="1" applyBorder="1" applyAlignment="1">
      <alignment horizontal="center" vertical="center"/>
    </xf>
    <xf numFmtId="0" fontId="18" fillId="0" borderId="37" xfId="0" quotePrefix="1" applyFont="1" applyBorder="1" applyAlignment="1">
      <alignment vertical="center" wrapText="1"/>
    </xf>
    <xf numFmtId="0" fontId="18" fillId="0" borderId="38" xfId="0" quotePrefix="1" applyFont="1" applyBorder="1" applyAlignment="1">
      <alignment vertical="center"/>
    </xf>
    <xf numFmtId="0" fontId="18" fillId="0" borderId="36" xfId="0" quotePrefix="1" applyFont="1" applyBorder="1" applyAlignment="1">
      <alignment vertical="center"/>
    </xf>
  </cellXfs>
  <cellStyles count="12">
    <cellStyle name="쉼표 [0] 2" xfId="3" xr:uid="{00000000-0005-0000-0000-000000000000}"/>
    <cellStyle name="쉼표 [0] 3" xfId="6" xr:uid="{00000000-0005-0000-0000-000001000000}"/>
    <cellStyle name="쉼표 [0] 4" xfId="10" xr:uid="{2C107A94-CFC3-4E5C-8AC0-CD288591EF19}"/>
    <cellStyle name="표준" xfId="0" builtinId="0"/>
    <cellStyle name="표준 2" xfId="1" xr:uid="{00000000-0005-0000-0000-000003000000}"/>
    <cellStyle name="표준 2 54" xfId="8" xr:uid="{A9B21F33-A476-4A4C-8C03-89DB5F99B1F1}"/>
    <cellStyle name="표준 3" xfId="4" xr:uid="{00000000-0005-0000-0000-000004000000}"/>
    <cellStyle name="표준 4" xfId="9" xr:uid="{BE15E341-BA27-4994-8E60-DE4B0C52F2B9}"/>
    <cellStyle name="표준 55" xfId="7" xr:uid="{59E97403-0A4E-48C0-AB13-37E0B433648D}"/>
    <cellStyle name="표준 8" xfId="5" xr:uid="{00000000-0005-0000-0000-000005000000}"/>
    <cellStyle name="표준_ASEM4.0 500 품질보증프로세스_09년 기준_090105" xfId="2" xr:uid="{00000000-0005-0000-0000-000006000000}"/>
    <cellStyle name="하이퍼링크" xfId="1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1344717</xdr:colOff>
      <xdr:row>0</xdr:row>
      <xdr:rowOff>127002</xdr:rowOff>
    </xdr:from>
    <xdr:to>
      <xdr:col>5</xdr:col>
      <xdr:colOff>307119</xdr:colOff>
      <xdr:row>3</xdr:row>
      <xdr:rowOff>85595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02F7F1-AB3C-4498-9CDA-7F3CBBFD1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5317" y="123827"/>
          <a:ext cx="5156827" cy="618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12ED-98C3-4463-A7F9-6734AC22D681}">
  <sheetPr>
    <tabColor rgb="FFFF0000"/>
    <pageSetUpPr fitToPage="1"/>
  </sheetPr>
  <dimension ref="B1:I47"/>
  <sheetViews>
    <sheetView tabSelected="1" topLeftCell="A18" zoomScaleNormal="100" workbookViewId="0">
      <selection activeCell="B7" sqref="B7"/>
    </sheetView>
  </sheetViews>
  <sheetFormatPr baseColWidth="10" defaultColWidth="10" defaultRowHeight="17"/>
  <cols>
    <col min="1" max="1" width="5" style="16" customWidth="1"/>
    <col min="2" max="3" width="20.5" style="4" customWidth="1"/>
    <col min="4" max="4" width="60.5" style="4" customWidth="1"/>
    <col min="5" max="5" width="20.5" style="4" customWidth="1"/>
    <col min="6" max="7" width="8.5" style="33" customWidth="1"/>
    <col min="8" max="8" width="20.5" style="33" customWidth="1"/>
    <col min="9" max="9" width="25.5" style="4" customWidth="1"/>
    <col min="10" max="16384" width="10" style="16"/>
  </cols>
  <sheetData>
    <row r="1" spans="2:9" s="3" customFormat="1">
      <c r="B1" s="1"/>
      <c r="C1" s="1"/>
      <c r="D1" s="1"/>
      <c r="E1" s="1"/>
      <c r="F1" s="2"/>
      <c r="G1" s="2"/>
      <c r="H1" s="2"/>
      <c r="I1" s="1"/>
    </row>
    <row r="2" spans="2:9" s="3" customFormat="1">
      <c r="B2" s="1"/>
      <c r="C2" s="1"/>
      <c r="D2" s="1"/>
      <c r="E2" s="1"/>
      <c r="F2" s="2"/>
      <c r="G2" s="2"/>
      <c r="H2" s="2"/>
      <c r="I2" s="1"/>
    </row>
    <row r="3" spans="2:9" s="3" customFormat="1">
      <c r="B3" s="1"/>
      <c r="C3" s="1"/>
      <c r="D3" s="1"/>
      <c r="E3" s="1"/>
      <c r="F3" s="2"/>
      <c r="G3" s="2"/>
      <c r="H3" s="2"/>
      <c r="I3" s="1"/>
    </row>
    <row r="4" spans="2:9" s="3" customFormat="1" ht="18.75" customHeight="1" thickBot="1">
      <c r="B4" s="1"/>
      <c r="C4" s="1"/>
      <c r="D4" s="1"/>
      <c r="E4" s="1"/>
      <c r="F4" s="2"/>
      <c r="G4" s="2"/>
      <c r="H4" s="2"/>
      <c r="I4" s="46">
        <f ca="1">TODAY()</f>
        <v>46231</v>
      </c>
    </row>
    <row r="5" spans="2:9" s="3" customFormat="1" ht="38" thickBot="1">
      <c r="B5" s="82" t="s">
        <v>6</v>
      </c>
      <c r="C5" s="83"/>
      <c r="D5" s="83"/>
      <c r="E5" s="83"/>
      <c r="F5" s="83"/>
      <c r="G5" s="83"/>
      <c r="H5" s="83"/>
      <c r="I5" s="84"/>
    </row>
    <row r="6" spans="2:9" s="3" customFormat="1" ht="16.5" customHeight="1">
      <c r="B6" s="4"/>
      <c r="C6" s="4"/>
      <c r="D6" s="5"/>
      <c r="E6" s="5"/>
      <c r="F6" s="5"/>
      <c r="G6" s="5"/>
      <c r="H6" s="5"/>
      <c r="I6" s="5"/>
    </row>
    <row r="7" spans="2:9" s="9" customFormat="1" ht="30" customHeight="1">
      <c r="B7" s="6" t="s">
        <v>53</v>
      </c>
      <c r="C7" s="6"/>
      <c r="D7" s="7"/>
      <c r="E7" s="7"/>
      <c r="F7" s="8"/>
      <c r="G7" s="8"/>
      <c r="H7" s="8"/>
      <c r="I7" s="7"/>
    </row>
    <row r="8" spans="2:9" s="3" customFormat="1">
      <c r="B8" s="10"/>
      <c r="C8" s="10"/>
      <c r="D8" s="4"/>
      <c r="E8" s="85" t="s">
        <v>16</v>
      </c>
      <c r="F8" s="86"/>
      <c r="G8" s="87" t="s">
        <v>17</v>
      </c>
      <c r="H8" s="78"/>
      <c r="I8" s="79"/>
    </row>
    <row r="9" spans="2:9" s="3" customFormat="1" ht="18" customHeight="1">
      <c r="B9" s="11" t="s">
        <v>7</v>
      </c>
      <c r="C9" s="11"/>
      <c r="D9" s="12"/>
      <c r="E9" s="76" t="s">
        <v>18</v>
      </c>
      <c r="F9" s="88"/>
      <c r="G9" s="87" t="s">
        <v>51</v>
      </c>
      <c r="H9" s="78"/>
      <c r="I9" s="79"/>
    </row>
    <row r="10" spans="2:9" s="3" customFormat="1" ht="18">
      <c r="B10" s="11"/>
      <c r="C10" s="11"/>
      <c r="D10" s="12"/>
      <c r="E10" s="76" t="s">
        <v>19</v>
      </c>
      <c r="F10" s="77"/>
      <c r="G10" s="78" t="s">
        <v>52</v>
      </c>
      <c r="H10" s="78"/>
      <c r="I10" s="79"/>
    </row>
    <row r="11" spans="2:9" s="3" customFormat="1" ht="18" customHeight="1">
      <c r="B11" s="11" t="s">
        <v>8</v>
      </c>
      <c r="C11" s="11"/>
      <c r="D11" s="12"/>
      <c r="E11" s="85" t="s">
        <v>20</v>
      </c>
      <c r="F11" s="86"/>
      <c r="G11" s="87" t="s">
        <v>25</v>
      </c>
      <c r="H11" s="78"/>
      <c r="I11" s="79"/>
    </row>
    <row r="12" spans="2:9" s="3" customFormat="1" ht="18" customHeight="1">
      <c r="B12" s="11" t="s">
        <v>9</v>
      </c>
      <c r="C12" s="11"/>
      <c r="D12" s="12"/>
      <c r="E12" s="85" t="s">
        <v>21</v>
      </c>
      <c r="F12" s="86"/>
      <c r="G12" s="87" t="s">
        <v>22</v>
      </c>
      <c r="H12" s="78"/>
      <c r="I12" s="79"/>
    </row>
    <row r="13" spans="2:9" s="3" customFormat="1" ht="18" customHeight="1">
      <c r="B13" s="11" t="s">
        <v>10</v>
      </c>
      <c r="C13" s="11"/>
      <c r="D13" s="12"/>
      <c r="E13" s="85" t="s">
        <v>23</v>
      </c>
      <c r="F13" s="86"/>
      <c r="G13" s="87"/>
      <c r="H13" s="78"/>
      <c r="I13" s="79"/>
    </row>
    <row r="14" spans="2:9" s="3" customFormat="1" ht="18">
      <c r="B14" s="11" t="s">
        <v>11</v>
      </c>
      <c r="C14" s="11"/>
      <c r="D14" s="12"/>
      <c r="E14" s="85" t="s">
        <v>24</v>
      </c>
      <c r="F14" s="86"/>
      <c r="G14" s="92"/>
      <c r="H14" s="93"/>
      <c r="I14" s="94"/>
    </row>
    <row r="15" spans="2:9" s="3" customFormat="1">
      <c r="B15" s="1"/>
      <c r="C15" s="1"/>
      <c r="D15" s="1"/>
      <c r="E15" s="1"/>
      <c r="F15" s="2"/>
      <c r="G15" s="2"/>
      <c r="H15" s="2"/>
      <c r="I15" s="1"/>
    </row>
    <row r="16" spans="2:9" s="3" customFormat="1" ht="18" thickBot="1">
      <c r="B16" s="36" t="s">
        <v>30</v>
      </c>
      <c r="C16" s="1"/>
      <c r="D16" s="1"/>
      <c r="E16" s="1"/>
      <c r="F16" s="2"/>
      <c r="G16" s="2"/>
      <c r="H16" s="2"/>
      <c r="I16" s="1"/>
    </row>
    <row r="17" spans="2:9" ht="33.75" customHeight="1" thickBot="1">
      <c r="B17" s="13" t="s">
        <v>13</v>
      </c>
      <c r="C17" s="35" t="s">
        <v>3</v>
      </c>
      <c r="D17" s="14" t="s">
        <v>1</v>
      </c>
      <c r="E17" s="14" t="s">
        <v>0</v>
      </c>
      <c r="F17" s="14" t="s">
        <v>37</v>
      </c>
      <c r="G17" s="14" t="s">
        <v>14</v>
      </c>
      <c r="H17" s="14" t="s">
        <v>31</v>
      </c>
      <c r="I17" s="15" t="s">
        <v>4</v>
      </c>
    </row>
    <row r="18" spans="2:9" ht="35.25" customHeight="1" thickTop="1">
      <c r="B18" s="95" t="s">
        <v>15</v>
      </c>
      <c r="C18" s="97"/>
      <c r="D18" s="34"/>
      <c r="E18" s="17"/>
      <c r="F18" s="75"/>
      <c r="G18" s="75"/>
      <c r="H18" s="19"/>
      <c r="I18" s="80"/>
    </row>
    <row r="19" spans="2:9" ht="35.25" customHeight="1">
      <c r="B19" s="95"/>
      <c r="C19" s="98"/>
      <c r="D19" s="34"/>
      <c r="E19" s="42"/>
      <c r="F19" s="43"/>
      <c r="G19" s="43"/>
      <c r="H19" s="19"/>
      <c r="I19" s="81"/>
    </row>
    <row r="20" spans="2:9" ht="35.25" customHeight="1">
      <c r="B20" s="95"/>
      <c r="C20" s="99"/>
      <c r="D20" s="34"/>
      <c r="E20" s="42"/>
      <c r="F20" s="18"/>
      <c r="G20" s="18"/>
      <c r="H20" s="19"/>
      <c r="I20" s="20"/>
    </row>
    <row r="21" spans="2:9" ht="25" customHeight="1" thickBot="1">
      <c r="B21" s="96"/>
      <c r="C21" s="100" t="s">
        <v>5</v>
      </c>
      <c r="D21" s="101"/>
      <c r="E21" s="101"/>
      <c r="F21" s="101"/>
      <c r="G21" s="102"/>
      <c r="H21" s="21">
        <f>H18</f>
        <v>0</v>
      </c>
      <c r="I21" s="22"/>
    </row>
    <row r="22" spans="2:9" ht="25" customHeight="1" thickTop="1" thickBot="1">
      <c r="B22" s="89" t="s">
        <v>40</v>
      </c>
      <c r="C22" s="90"/>
      <c r="D22" s="90"/>
      <c r="E22" s="90"/>
      <c r="F22" s="90"/>
      <c r="G22" s="91"/>
      <c r="H22" s="23">
        <f>H21</f>
        <v>0</v>
      </c>
      <c r="I22" s="24"/>
    </row>
    <row r="23" spans="2:9" s="27" customFormat="1" ht="25" customHeight="1" thickTop="1" thickBot="1">
      <c r="B23" s="103" t="s">
        <v>41</v>
      </c>
      <c r="C23" s="104"/>
      <c r="D23" s="104"/>
      <c r="E23" s="104"/>
      <c r="F23" s="104"/>
      <c r="G23" s="105"/>
      <c r="H23" s="25">
        <f>H22+(H20)*4</f>
        <v>0</v>
      </c>
      <c r="I23" s="26"/>
    </row>
    <row r="24" spans="2:9" s="27" customFormat="1">
      <c r="B24" s="28"/>
      <c r="C24" s="28"/>
      <c r="D24" s="28"/>
      <c r="E24" s="29"/>
      <c r="F24" s="28"/>
      <c r="G24" s="28"/>
    </row>
    <row r="25" spans="2:9" s="27" customFormat="1" ht="18" thickBot="1">
      <c r="B25" s="41" t="s">
        <v>47</v>
      </c>
      <c r="C25" s="28"/>
      <c r="D25" s="28"/>
      <c r="E25" s="29"/>
      <c r="F25" s="28"/>
      <c r="G25" s="28"/>
      <c r="I25" s="74" t="s">
        <v>42</v>
      </c>
    </row>
    <row r="26" spans="2:9" s="27" customFormat="1" ht="30" customHeight="1" thickBot="1">
      <c r="B26" s="30" t="s">
        <v>13</v>
      </c>
      <c r="C26" s="38" t="s">
        <v>3</v>
      </c>
      <c r="D26" s="31" t="s">
        <v>35</v>
      </c>
      <c r="E26" s="31" t="s">
        <v>36</v>
      </c>
      <c r="F26" s="31" t="s">
        <v>14</v>
      </c>
      <c r="G26" s="31" t="s">
        <v>37</v>
      </c>
      <c r="H26" s="31" t="s">
        <v>38</v>
      </c>
      <c r="I26" s="32" t="s">
        <v>4</v>
      </c>
    </row>
    <row r="27" spans="2:9" s="27" customFormat="1" ht="35" customHeight="1">
      <c r="B27" s="106" t="s">
        <v>39</v>
      </c>
      <c r="C27" s="49"/>
      <c r="D27" s="44"/>
      <c r="E27" s="50"/>
      <c r="F27" s="51"/>
      <c r="G27" s="51"/>
      <c r="H27" s="50"/>
      <c r="I27" s="45"/>
    </row>
    <row r="28" spans="2:9" s="27" customFormat="1" ht="35" customHeight="1">
      <c r="B28" s="95"/>
      <c r="C28" s="52"/>
      <c r="D28" s="53"/>
      <c r="E28" s="54"/>
      <c r="F28" s="55"/>
      <c r="G28" s="55"/>
      <c r="H28" s="54"/>
      <c r="I28" s="108"/>
    </row>
    <row r="29" spans="2:9" s="27" customFormat="1" ht="35" customHeight="1">
      <c r="B29" s="95"/>
      <c r="C29" s="56"/>
      <c r="D29" s="44"/>
      <c r="E29" s="50"/>
      <c r="F29" s="51"/>
      <c r="G29" s="51"/>
      <c r="H29" s="50"/>
      <c r="I29" s="109"/>
    </row>
    <row r="30" spans="2:9" s="27" customFormat="1" ht="35" customHeight="1">
      <c r="B30" s="95"/>
      <c r="C30" s="52"/>
      <c r="D30" s="53"/>
      <c r="E30" s="54"/>
      <c r="F30" s="55"/>
      <c r="G30" s="55"/>
      <c r="H30" s="54"/>
      <c r="I30" s="108"/>
    </row>
    <row r="31" spans="2:9" s="27" customFormat="1" ht="35" customHeight="1" thickBot="1">
      <c r="B31" s="95"/>
      <c r="C31" s="58"/>
      <c r="D31" s="59"/>
      <c r="E31" s="60"/>
      <c r="F31" s="61"/>
      <c r="G31" s="61"/>
      <c r="H31" s="60"/>
      <c r="I31" s="110"/>
    </row>
    <row r="32" spans="2:9" s="27" customFormat="1" ht="35" customHeight="1" thickTop="1">
      <c r="B32" s="95"/>
      <c r="C32" s="62"/>
      <c r="D32" s="44"/>
      <c r="E32" s="50"/>
      <c r="F32" s="51"/>
      <c r="G32" s="51"/>
      <c r="H32" s="50"/>
      <c r="I32" s="57"/>
    </row>
    <row r="33" spans="2:9" s="27" customFormat="1" ht="35" customHeight="1">
      <c r="B33" s="95"/>
      <c r="C33" s="63"/>
      <c r="D33" s="53"/>
      <c r="E33" s="54"/>
      <c r="F33" s="55"/>
      <c r="G33" s="55"/>
      <c r="H33" s="54"/>
      <c r="I33" s="108"/>
    </row>
    <row r="34" spans="2:9" s="27" customFormat="1" ht="35" customHeight="1">
      <c r="B34" s="95"/>
      <c r="C34" s="62"/>
      <c r="D34" s="44"/>
      <c r="E34" s="50"/>
      <c r="F34" s="51"/>
      <c r="G34" s="51"/>
      <c r="H34" s="50"/>
      <c r="I34" s="109"/>
    </row>
    <row r="35" spans="2:9" s="27" customFormat="1" ht="35" customHeight="1">
      <c r="B35" s="95"/>
      <c r="C35" s="63"/>
      <c r="D35" s="53"/>
      <c r="E35" s="54"/>
      <c r="F35" s="55"/>
      <c r="G35" s="55"/>
      <c r="H35" s="54"/>
      <c r="I35" s="108"/>
    </row>
    <row r="36" spans="2:9" s="27" customFormat="1" ht="35" customHeight="1" thickBot="1">
      <c r="B36" s="107"/>
      <c r="C36" s="64"/>
      <c r="D36" s="48"/>
      <c r="E36" s="65"/>
      <c r="F36" s="66"/>
      <c r="G36" s="66"/>
      <c r="H36" s="65"/>
      <c r="I36" s="111"/>
    </row>
    <row r="37" spans="2:9" s="27" customFormat="1" ht="25" hidden="1" customHeight="1" thickBot="1">
      <c r="B37" s="112" t="s">
        <v>43</v>
      </c>
      <c r="C37" s="113"/>
      <c r="D37" s="113"/>
      <c r="E37" s="113"/>
      <c r="F37" s="113"/>
      <c r="G37" s="114"/>
      <c r="H37" s="67" t="s">
        <v>2</v>
      </c>
      <c r="I37" s="68"/>
    </row>
    <row r="38" spans="2:9" s="27" customFormat="1" ht="25" hidden="1" customHeight="1" thickTop="1" thickBot="1">
      <c r="B38" s="103" t="s">
        <v>44</v>
      </c>
      <c r="C38" s="104"/>
      <c r="D38" s="104"/>
      <c r="E38" s="104"/>
      <c r="F38" s="104"/>
      <c r="G38" s="105"/>
      <c r="H38" s="25" t="s">
        <v>2</v>
      </c>
      <c r="I38" s="69"/>
    </row>
    <row r="39" spans="2:9" s="73" customFormat="1">
      <c r="B39" s="70"/>
      <c r="C39" s="70"/>
      <c r="D39" s="70"/>
      <c r="E39" s="70"/>
      <c r="F39" s="70"/>
      <c r="G39" s="70"/>
      <c r="H39" s="71"/>
      <c r="I39" s="72"/>
    </row>
    <row r="40" spans="2:9" s="27" customFormat="1">
      <c r="B40" s="28"/>
      <c r="C40" s="28"/>
      <c r="D40" s="28"/>
      <c r="E40" s="29"/>
      <c r="F40" s="28"/>
      <c r="G40" s="28"/>
    </row>
    <row r="41" spans="2:9" s="27" customFormat="1" ht="18" thickBot="1">
      <c r="B41" s="41" t="s">
        <v>32</v>
      </c>
      <c r="C41" s="28"/>
      <c r="D41" s="28"/>
      <c r="E41" s="29"/>
      <c r="F41" s="28"/>
      <c r="G41" s="28"/>
    </row>
    <row r="42" spans="2:9" s="27" customFormat="1" ht="30" customHeight="1">
      <c r="B42" s="37" t="s">
        <v>13</v>
      </c>
      <c r="C42" s="122" t="s">
        <v>26</v>
      </c>
      <c r="D42" s="123"/>
      <c r="E42" s="123"/>
      <c r="F42" s="123"/>
      <c r="G42" s="124"/>
      <c r="H42" s="122" t="s">
        <v>4</v>
      </c>
      <c r="I42" s="125"/>
    </row>
    <row r="43" spans="2:9" s="27" customFormat="1" ht="85" customHeight="1">
      <c r="B43" s="39" t="s">
        <v>27</v>
      </c>
      <c r="C43" s="126" t="s">
        <v>48</v>
      </c>
      <c r="D43" s="127"/>
      <c r="E43" s="127"/>
      <c r="F43" s="127"/>
      <c r="G43" s="128"/>
      <c r="H43" s="129" t="s">
        <v>45</v>
      </c>
      <c r="I43" s="130"/>
    </row>
    <row r="44" spans="2:9" s="27" customFormat="1" ht="35" customHeight="1">
      <c r="B44" s="39" t="s">
        <v>28</v>
      </c>
      <c r="C44" s="131" t="s">
        <v>33</v>
      </c>
      <c r="D44" s="132"/>
      <c r="E44" s="132"/>
      <c r="F44" s="132"/>
      <c r="G44" s="133"/>
      <c r="H44" s="129" t="s">
        <v>49</v>
      </c>
      <c r="I44" s="130"/>
    </row>
    <row r="45" spans="2:9" s="27" customFormat="1" ht="45" customHeight="1" thickBot="1">
      <c r="B45" s="47" t="s">
        <v>46</v>
      </c>
      <c r="C45" s="115" t="s">
        <v>34</v>
      </c>
      <c r="D45" s="116"/>
      <c r="E45" s="116"/>
      <c r="F45" s="116"/>
      <c r="G45" s="117"/>
      <c r="H45" s="118" t="s">
        <v>29</v>
      </c>
      <c r="I45" s="119"/>
    </row>
    <row r="46" spans="2:9" s="27" customFormat="1" ht="18" thickBot="1">
      <c r="B46" s="28"/>
      <c r="C46" s="28"/>
      <c r="D46" s="28"/>
      <c r="E46" s="29"/>
      <c r="F46" s="28"/>
      <c r="G46" s="28"/>
    </row>
    <row r="47" spans="2:9" s="27" customFormat="1" ht="153" customHeight="1" thickBot="1">
      <c r="B47" s="40" t="s">
        <v>12</v>
      </c>
      <c r="C47" s="120" t="s">
        <v>50</v>
      </c>
      <c r="D47" s="120"/>
      <c r="E47" s="120"/>
      <c r="F47" s="120"/>
      <c r="G47" s="120"/>
      <c r="H47" s="120"/>
      <c r="I47" s="121"/>
    </row>
  </sheetData>
  <mergeCells count="37">
    <mergeCell ref="B37:G37"/>
    <mergeCell ref="B38:G38"/>
    <mergeCell ref="C45:G45"/>
    <mergeCell ref="H45:I45"/>
    <mergeCell ref="C47:I47"/>
    <mergeCell ref="C42:G42"/>
    <mergeCell ref="H42:I42"/>
    <mergeCell ref="C43:G43"/>
    <mergeCell ref="H43:I43"/>
    <mergeCell ref="C44:G44"/>
    <mergeCell ref="H44:I44"/>
    <mergeCell ref="B23:G23"/>
    <mergeCell ref="B27:B36"/>
    <mergeCell ref="I28:I29"/>
    <mergeCell ref="I30:I31"/>
    <mergeCell ref="I33:I34"/>
    <mergeCell ref="I35:I36"/>
    <mergeCell ref="B22:G22"/>
    <mergeCell ref="E11:F11"/>
    <mergeCell ref="G11:I11"/>
    <mergeCell ref="E12:F12"/>
    <mergeCell ref="G12:I12"/>
    <mergeCell ref="E13:F13"/>
    <mergeCell ref="G13:I13"/>
    <mergeCell ref="E14:F14"/>
    <mergeCell ref="G14:I14"/>
    <mergeCell ref="B18:B21"/>
    <mergeCell ref="C18:C20"/>
    <mergeCell ref="C21:G21"/>
    <mergeCell ref="E10:F10"/>
    <mergeCell ref="G10:I10"/>
    <mergeCell ref="I18:I19"/>
    <mergeCell ref="B5:I5"/>
    <mergeCell ref="E8:F8"/>
    <mergeCell ref="G8:I8"/>
    <mergeCell ref="E9:F9"/>
    <mergeCell ref="G9:I9"/>
  </mergeCells>
  <phoneticPr fontId="3" type="noConversion"/>
  <pageMargins left="0.25" right="0.25" top="0.75" bottom="0.75" header="0.3" footer="0.3"/>
  <pageSetup paperSize="9" scale="47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772DB9FC13E34EBF4E3B3A4A730E36" ma:contentTypeVersion="15" ma:contentTypeDescription="새 문서를 만듭니다." ma:contentTypeScope="" ma:versionID="67ab6ce932f8069012424271c57aa029">
  <xsd:schema xmlns:xsd="http://www.w3.org/2001/XMLSchema" xmlns:xs="http://www.w3.org/2001/XMLSchema" xmlns:p="http://schemas.microsoft.com/office/2006/metadata/properties" xmlns:ns2="82ab249b-bfbf-43dc-bdb8-089e66fdaf99" xmlns:ns3="0dc7bb2c-c807-44c8-a504-d1210791f01d" targetNamespace="http://schemas.microsoft.com/office/2006/metadata/properties" ma:root="true" ma:fieldsID="48e8d8fc084d1a8b67cb2ba3f83d2e9c" ns2:_="" ns3:_="">
    <xsd:import namespace="82ab249b-bfbf-43dc-bdb8-089e66fdaf99"/>
    <xsd:import namespace="0dc7bb2c-c807-44c8-a504-d1210791f0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b249b-bfbf-43dc-bdb8-089e66fdaf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8f384ee-8076-4954-add7-d00f266def0a}" ma:internalName="TaxCatchAll" ma:showField="CatchAllData" ma:web="82ab249b-bfbf-43dc-bdb8-089e66fdaf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c7bb2c-c807-44c8-a504-d1210791f0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0c2e6099-0a59-4d3f-aa2e-32ae178ea0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c7bb2c-c807-44c8-a504-d1210791f01d">
      <Terms xmlns="http://schemas.microsoft.com/office/infopath/2007/PartnerControls"/>
    </lcf76f155ced4ddcb4097134ff3c332f>
    <TaxCatchAll xmlns="82ab249b-bfbf-43dc-bdb8-089e66fdaf99" xsi:nil="true"/>
  </documentManagement>
</p:properties>
</file>

<file path=customXml/itemProps1.xml><?xml version="1.0" encoding="utf-8"?>
<ds:datastoreItem xmlns:ds="http://schemas.openxmlformats.org/officeDocument/2006/customXml" ds:itemID="{4712BEFA-4F5E-4619-B9BE-56B8F03C0A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0260D0-667E-4EB7-BCD2-309C29F4E1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ab249b-bfbf-43dc-bdb8-089e66fdaf99"/>
    <ds:schemaRef ds:uri="0dc7bb2c-c807-44c8-a504-d1210791f0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DFD6D8-248E-4977-BE48-8D226C709EFA}">
  <ds:schemaRefs>
    <ds:schemaRef ds:uri="http://schemas.microsoft.com/office/infopath/2007/PartnerControls"/>
    <ds:schemaRef ds:uri="0dc7bb2c-c807-44c8-a504-d1210791f01d"/>
    <ds:schemaRef ds:uri="http://purl.org/dc/elements/1.1/"/>
    <ds:schemaRef ds:uri="http://purl.org/dc/terms/"/>
    <ds:schemaRef ds:uri="http://www.w3.org/XML/1998/namespace"/>
    <ds:schemaRef ds:uri="82ab249b-bfbf-43dc-bdb8-089e66fdaf99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3안 (연간)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2026-07-28T03:53:28Z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0x01010001772DB9FC13E34EBF4E3B3A4A730E36</vt:lpwstr>
  </property>
</Properties>
</file>