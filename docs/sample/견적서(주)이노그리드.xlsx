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hyeonkim/업무용/솔루션영업/충남AI대전환/견적서/"/>
    </mc:Choice>
  </mc:AlternateContent>
  <xr:revisionPtr revIDLastSave="0" documentId="8_{B19A5DB4-5260-E848-B5CB-4ADA2F27368E}" xr6:coauthVersionLast="47" xr6:coauthVersionMax="47" xr10:uidLastSave="{00000000-0000-0000-0000-000000000000}"/>
  <bookViews>
    <workbookView xWindow="7700" yWindow="1060" windowWidth="18600" windowHeight="15160" xr2:uid="{9A4C8277-B38B-4D35-B55B-0FAD5814137B}"/>
  </bookViews>
  <sheets>
    <sheet name="견적서" sheetId="1" r:id="rId1"/>
  </sheets>
  <definedNames>
    <definedName name="_xlnm.Print_Area" localSheetId="0">견적서!$A$2:$K$61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1" l="1"/>
  <c r="I47" i="1"/>
  <c r="I45" i="1"/>
  <c r="I38" i="1"/>
  <c r="I34" i="1"/>
  <c r="I31" i="1"/>
  <c r="I48" i="1" l="1"/>
  <c r="I49" i="1" l="1"/>
  <c r="I50" i="1"/>
  <c r="I51" i="1" s="1"/>
</calcChain>
</file>

<file path=xl/sharedStrings.xml><?xml version="1.0" encoding="utf-8"?>
<sst xmlns="http://schemas.openxmlformats.org/spreadsheetml/2006/main" count="58" uniqueCount="45">
  <si>
    <t>작성일자 : 2026년 6월 5일</t>
    <phoneticPr fontId="2" type="noConversion"/>
  </si>
  <si>
    <t>고객사</t>
    <phoneticPr fontId="2" type="noConversion"/>
  </si>
  <si>
    <t>:</t>
    <phoneticPr fontId="2" type="noConversion"/>
  </si>
  <si>
    <t>제조사</t>
    <phoneticPr fontId="2" type="noConversion"/>
  </si>
  <si>
    <t>주식회사 이노그리드</t>
    <phoneticPr fontId="2" type="noConversion"/>
  </si>
  <si>
    <t>주소</t>
    <phoneticPr fontId="2" type="noConversion"/>
  </si>
  <si>
    <t>서울시 중구 을지로 100, 파인에비뉴 B동 10층</t>
    <phoneticPr fontId="2" type="noConversion"/>
  </si>
  <si>
    <t>담당자</t>
    <phoneticPr fontId="2" type="noConversion"/>
  </si>
  <si>
    <t>대표이사</t>
    <phoneticPr fontId="2" type="noConversion"/>
  </si>
  <si>
    <t>김 명 진</t>
    <phoneticPr fontId="2" type="noConversion"/>
  </si>
  <si>
    <t>연락처</t>
    <phoneticPr fontId="2" type="noConversion"/>
  </si>
  <si>
    <t>사업자 등록번호</t>
    <phoneticPr fontId="2" type="noConversion"/>
  </si>
  <si>
    <t>220-87-36743</t>
    <phoneticPr fontId="2" type="noConversion"/>
  </si>
  <si>
    <t>프로젝트명</t>
    <phoneticPr fontId="2" type="noConversion"/>
  </si>
  <si>
    <t>최종 견적가(VAT포함)</t>
    <phoneticPr fontId="2" type="noConversion"/>
  </si>
  <si>
    <t>(단위: 원)</t>
    <phoneticPr fontId="2" type="noConversion"/>
  </si>
  <si>
    <t>상품군</t>
    <phoneticPr fontId="2" type="noConversion"/>
  </si>
  <si>
    <t>모델정보</t>
    <phoneticPr fontId="2" type="noConversion"/>
  </si>
  <si>
    <t>상품 옵션</t>
    <phoneticPr fontId="2" type="noConversion"/>
  </si>
  <si>
    <t>단가
(1년 약정)</t>
    <phoneticPr fontId="2" type="noConversion"/>
  </si>
  <si>
    <t>수량</t>
    <phoneticPr fontId="2" type="noConversion"/>
  </si>
  <si>
    <t>단위</t>
    <phoneticPr fontId="2" type="noConversion"/>
  </si>
  <si>
    <t>제안가</t>
    <phoneticPr fontId="2" type="noConversion"/>
  </si>
  <si>
    <t>비고</t>
    <phoneticPr fontId="2" type="noConversion"/>
  </si>
  <si>
    <t>Compute</t>
    <phoneticPr fontId="2" type="noConversion"/>
  </si>
  <si>
    <t>소계</t>
    <phoneticPr fontId="2" type="noConversion"/>
  </si>
  <si>
    <t>Storage</t>
    <phoneticPr fontId="2" type="noConversion"/>
  </si>
  <si>
    <t>Network</t>
    <phoneticPr fontId="2" type="noConversion"/>
  </si>
  <si>
    <t>Security</t>
    <phoneticPr fontId="2" type="noConversion"/>
  </si>
  <si>
    <t>MSP</t>
    <phoneticPr fontId="2" type="noConversion"/>
  </si>
  <si>
    <t>최종 견적가</t>
    <phoneticPr fontId="2" type="noConversion"/>
  </si>
  <si>
    <t>월 예상 요금(원/VAT 별도)</t>
    <phoneticPr fontId="2" type="noConversion"/>
  </si>
  <si>
    <t>월 예상 요금(원/VAT 포함)</t>
    <phoneticPr fontId="2" type="noConversion"/>
  </si>
  <si>
    <t>2026년 예상 요금(원/VAT 별도)</t>
    <phoneticPr fontId="2" type="noConversion"/>
  </si>
  <si>
    <t>2026년 예상 요금(원/VAT 포함)</t>
    <phoneticPr fontId="2" type="noConversion"/>
  </si>
  <si>
    <t>Remark</t>
    <phoneticPr fontId="2" type="noConversion"/>
  </si>
  <si>
    <t>2. 시스템의 구성변경 및 실제 사용여부와 (사)용량에 따라 실체 청구금액과 다를 수 있습니다.</t>
    <phoneticPr fontId="2" type="noConversion"/>
  </si>
  <si>
    <t>3. 본 견적에는 약정기간 할인이 적용되어있으며, 약전된 상품 및 중도해지 시 위약금이 발생합니다. (위약금 = 월 서비스료 X 약정 계약기간(월) X 50%)</t>
    <phoneticPr fontId="2" type="noConversion"/>
  </si>
  <si>
    <t>4. 견적 유효기간은 견적 발행일로부터 25일입니다.</t>
    <phoneticPr fontId="2" type="noConversion"/>
  </si>
  <si>
    <t>5. 트래픽 기반의 서비스 및 상품은 CSP의 내부 사정에 따라서 변경될 가능성이 있습니다.</t>
    <phoneticPr fontId="2" type="noConversion"/>
  </si>
  <si>
    <t>6. 상기 견적은 제안요청서를 기반으로 작성된 예상 견적서이며, 추후 운영환경에서는 협의를 통하여 인프라 변경이 가능합니다.</t>
    <phoneticPr fontId="2" type="noConversion"/>
  </si>
  <si>
    <t>7. 해당 견적금액은 예상 구성에 따른 산정으로 고객과 협의하여 조정 가능합니다.</t>
    <phoneticPr fontId="2" type="noConversion"/>
  </si>
  <si>
    <t>*귀사의 발전을 위해서 최선을 다하는 ㈜이노그리드가 되겠습니다.</t>
    <phoneticPr fontId="2" type="noConversion"/>
  </si>
  <si>
    <t>견   적   서</t>
    <phoneticPr fontId="2" type="noConversion"/>
  </si>
  <si>
    <t xml:space="preserve">1. 본 견적은 '사업명_기관명'에 한하여 적용된 제안가입니다.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</si>
</sst>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17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0"/>
      <color theme="3" tint="9.9978637043366805E-2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theme="3" tint="9.9978637043366805E-2"/>
      <name val="맑은 고딕"/>
      <family val="3"/>
      <charset val="129"/>
      <scheme val="minor"/>
    </font>
    <font>
      <b/>
      <sz val="13"/>
      <color rgb="FFFFFF0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ashed">
        <color theme="2" tint="-0.74996185186315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1" fillId="2" borderId="0" xfId="0" applyNumberFormat="1" applyFont="1" applyFill="1" applyAlignment="1">
      <alignment horizontal="distributed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3" fontId="1" fillId="4" borderId="4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right" vertical="center"/>
    </xf>
    <xf numFmtId="3" fontId="1" fillId="3" borderId="4" xfId="0" applyNumberFormat="1" applyFont="1" applyFill="1" applyBorder="1" applyAlignment="1">
      <alignment horizontal="right" vertical="center"/>
    </xf>
    <xf numFmtId="0" fontId="15" fillId="0" borderId="7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6" fillId="5" borderId="7" xfId="0" applyFont="1" applyFill="1" applyBorder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6" fillId="5" borderId="8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81771</xdr:colOff>
      <xdr:row>2</xdr:row>
      <xdr:rowOff>67918</xdr:rowOff>
    </xdr:from>
    <xdr:to>
      <xdr:col>3</xdr:col>
      <xdr:colOff>551921</xdr:colOff>
      <xdr:row>3</xdr:row>
      <xdr:rowOff>167433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8AC52C-9B65-49EE-901F-22951087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71" y="544168"/>
          <a:ext cx="2879975" cy="29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7144</xdr:colOff>
      <xdr:row>8</xdr:row>
      <xdr:rowOff>220669</xdr:rowOff>
    </xdr:from>
    <xdr:to>
      <xdr:col>11</xdr:col>
      <xdr:colOff>0</xdr:colOff>
      <xdr:row>9</xdr:row>
      <xdr:rowOff>17745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7C3AF15-FB33-4538-B172-3E03FEE5FDD8}"/>
            </a:ext>
          </a:extLst>
        </xdr:cNvPr>
        <xdr:cNvSpPr/>
      </xdr:nvSpPr>
      <xdr:spPr>
        <a:xfrm>
          <a:off x="7144" y="1935169"/>
          <a:ext cx="14708981" cy="35201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F698-8CBA-4D53-9426-BE833F2BF1EF}">
  <sheetPr>
    <pageSetUpPr fitToPage="1"/>
  </sheetPr>
  <dimension ref="A2:K146"/>
  <sheetViews>
    <sheetView showGridLines="0" tabSelected="1" view="pageBreakPreview" zoomScale="85" zoomScaleNormal="100" zoomScaleSheetLayoutView="85" workbookViewId="0">
      <selection activeCell="C46" sqref="C46:C47"/>
    </sheetView>
  </sheetViews>
  <sheetFormatPr baseColWidth="10" defaultColWidth="9" defaultRowHeight="15"/>
  <cols>
    <col min="1" max="1" width="17" style="1" customWidth="1"/>
    <col min="2" max="2" width="2.6640625" style="1" customWidth="1"/>
    <col min="3" max="3" width="12" style="2" customWidth="1"/>
    <col min="4" max="4" width="19.33203125" style="3" customWidth="1"/>
    <col min="5" max="5" width="52.83203125" style="3" customWidth="1"/>
    <col min="6" max="6" width="12.6640625" style="4" customWidth="1"/>
    <col min="7" max="8" width="6.33203125" style="5" customWidth="1"/>
    <col min="9" max="9" width="17" style="5" customWidth="1"/>
    <col min="10" max="10" width="2.6640625" style="6" customWidth="1"/>
    <col min="11" max="11" width="44.1640625" style="3" bestFit="1" customWidth="1"/>
    <col min="12" max="16384" width="9" style="5"/>
  </cols>
  <sheetData>
    <row r="2" spans="1:11" ht="24" customHeight="1"/>
    <row r="3" spans="1:11" ht="15.75" customHeight="1"/>
    <row r="4" spans="1:11" ht="15.75" customHeight="1"/>
    <row r="5" spans="1:11" ht="15.75" customHeight="1"/>
    <row r="6" spans="1:11" ht="15.75" customHeight="1"/>
    <row r="7" spans="1:11" ht="15.75" customHeight="1">
      <c r="A7" s="45" t="s">
        <v>43</v>
      </c>
      <c r="B7" s="45"/>
      <c r="C7" s="45"/>
      <c r="D7" s="45"/>
      <c r="E7" s="45"/>
      <c r="F7" s="45"/>
      <c r="G7" s="45"/>
      <c r="H7" s="45"/>
      <c r="I7" s="45"/>
      <c r="J7" s="45"/>
      <c r="K7" s="45"/>
    </row>
    <row r="8" spans="1:11" ht="18.7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1" ht="18.75" customHeight="1">
      <c r="A9" s="7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s="15" customFormat="1" ht="21" customHeight="1">
      <c r="A11" s="10" t="s">
        <v>1</v>
      </c>
      <c r="B11" s="11" t="s">
        <v>2</v>
      </c>
      <c r="C11" s="12"/>
      <c r="D11" s="13"/>
      <c r="E11" s="13"/>
      <c r="F11" s="14"/>
      <c r="H11" s="11"/>
      <c r="I11" s="10" t="s">
        <v>3</v>
      </c>
      <c r="J11" s="16" t="s">
        <v>2</v>
      </c>
      <c r="K11" s="12" t="s">
        <v>4</v>
      </c>
    </row>
    <row r="12" spans="1:11" s="15" customFormat="1" ht="21" customHeight="1">
      <c r="A12" s="10" t="s">
        <v>5</v>
      </c>
      <c r="B12" s="11" t="s">
        <v>2</v>
      </c>
      <c r="C12" s="12"/>
      <c r="D12" s="13"/>
      <c r="E12" s="13"/>
      <c r="F12" s="14"/>
      <c r="H12" s="11"/>
      <c r="I12" s="10" t="s">
        <v>5</v>
      </c>
      <c r="J12" s="16" t="s">
        <v>2</v>
      </c>
      <c r="K12" s="12" t="s">
        <v>6</v>
      </c>
    </row>
    <row r="13" spans="1:11" s="15" customFormat="1" ht="21" customHeight="1">
      <c r="A13" s="10" t="s">
        <v>7</v>
      </c>
      <c r="B13" s="11" t="s">
        <v>2</v>
      </c>
      <c r="C13" s="12"/>
      <c r="D13" s="13"/>
      <c r="E13" s="13"/>
      <c r="F13" s="14"/>
      <c r="H13" s="11"/>
      <c r="I13" s="10" t="s">
        <v>8</v>
      </c>
      <c r="J13" s="16" t="s">
        <v>2</v>
      </c>
      <c r="K13" s="12" t="s">
        <v>9</v>
      </c>
    </row>
    <row r="14" spans="1:11" s="15" customFormat="1" ht="21" customHeight="1">
      <c r="A14" s="10" t="s">
        <v>10</v>
      </c>
      <c r="B14" s="11" t="s">
        <v>2</v>
      </c>
      <c r="C14" s="12"/>
      <c r="D14" s="13"/>
      <c r="E14" s="13"/>
      <c r="F14" s="14"/>
      <c r="H14" s="11"/>
      <c r="I14" s="10" t="s">
        <v>11</v>
      </c>
      <c r="J14" s="16" t="s">
        <v>2</v>
      </c>
      <c r="K14" s="12" t="s">
        <v>12</v>
      </c>
    </row>
    <row r="15" spans="1:11" ht="13" customHeight="1">
      <c r="A15" s="17"/>
      <c r="B15" s="17"/>
      <c r="C15" s="18"/>
      <c r="D15" s="19"/>
      <c r="E15" s="19"/>
      <c r="F15" s="20"/>
      <c r="G15" s="21"/>
      <c r="H15" s="18"/>
      <c r="I15" s="18"/>
      <c r="J15" s="22"/>
      <c r="K15" s="19"/>
    </row>
    <row r="16" spans="1:11" ht="13" customHeight="1">
      <c r="H16" s="2"/>
      <c r="I16" s="2"/>
    </row>
    <row r="17" spans="1:11" ht="15.75" customHeight="1">
      <c r="A17" s="23" t="s">
        <v>13</v>
      </c>
      <c r="B17" s="24" t="s">
        <v>2</v>
      </c>
      <c r="C17" s="25"/>
      <c r="H17" s="2"/>
      <c r="I17" s="2"/>
    </row>
    <row r="18" spans="1:11" ht="13" customHeight="1">
      <c r="H18" s="2"/>
      <c r="I18" s="2"/>
    </row>
    <row r="19" spans="1:11" ht="30.75" customHeight="1">
      <c r="A19" s="46" t="s">
        <v>14</v>
      </c>
      <c r="B19" s="46"/>
      <c r="C19" s="46"/>
      <c r="D19" s="26">
        <f>I51</f>
        <v>0</v>
      </c>
      <c r="E19" s="27"/>
      <c r="F19" s="28"/>
      <c r="G19" s="29"/>
      <c r="H19" s="29"/>
      <c r="I19" s="29"/>
      <c r="J19" s="30"/>
      <c r="K19" s="27"/>
    </row>
    <row r="20" spans="1:11" ht="9.75" customHeight="1">
      <c r="K20" s="5"/>
    </row>
    <row r="21" spans="1:11" ht="9.75" customHeight="1">
      <c r="K21" s="31" t="s">
        <v>15</v>
      </c>
    </row>
    <row r="22" spans="1:11" s="11" customFormat="1" ht="45" customHeight="1">
      <c r="A22" s="47" t="s">
        <v>16</v>
      </c>
      <c r="B22" s="47"/>
      <c r="C22" s="47"/>
      <c r="D22" s="32" t="s">
        <v>17</v>
      </c>
      <c r="E22" s="32" t="s">
        <v>18</v>
      </c>
      <c r="F22" s="33" t="s">
        <v>19</v>
      </c>
      <c r="G22" s="32" t="s">
        <v>20</v>
      </c>
      <c r="H22" s="32" t="s">
        <v>21</v>
      </c>
      <c r="I22" s="48" t="s">
        <v>22</v>
      </c>
      <c r="J22" s="49"/>
      <c r="K22" s="32" t="s">
        <v>23</v>
      </c>
    </row>
    <row r="23" spans="1:11" ht="25" customHeight="1">
      <c r="A23" s="50" t="s">
        <v>24</v>
      </c>
      <c r="B23" s="51"/>
      <c r="C23" s="56"/>
      <c r="D23" s="34"/>
      <c r="E23" s="34"/>
      <c r="F23" s="35"/>
      <c r="G23" s="36"/>
      <c r="H23" s="36"/>
      <c r="I23" s="57"/>
      <c r="J23" s="58"/>
      <c r="K23" s="34"/>
    </row>
    <row r="24" spans="1:11" ht="25" customHeight="1">
      <c r="A24" s="52"/>
      <c r="B24" s="53"/>
      <c r="C24" s="56"/>
      <c r="D24" s="34"/>
      <c r="E24" s="34"/>
      <c r="F24" s="35"/>
      <c r="G24" s="36"/>
      <c r="H24" s="36"/>
      <c r="I24" s="57"/>
      <c r="J24" s="58"/>
      <c r="K24" s="34"/>
    </row>
    <row r="25" spans="1:11" ht="25" customHeight="1">
      <c r="A25" s="52"/>
      <c r="B25" s="53"/>
      <c r="C25" s="56"/>
      <c r="D25" s="34"/>
      <c r="E25" s="34"/>
      <c r="F25" s="35"/>
      <c r="G25" s="36"/>
      <c r="H25" s="36"/>
      <c r="I25" s="57"/>
      <c r="J25" s="58"/>
      <c r="K25" s="34"/>
    </row>
    <row r="26" spans="1:11" ht="25" customHeight="1">
      <c r="A26" s="52"/>
      <c r="B26" s="53"/>
      <c r="C26" s="56"/>
      <c r="D26" s="34"/>
      <c r="E26" s="34"/>
      <c r="F26" s="35"/>
      <c r="G26" s="36"/>
      <c r="H26" s="36"/>
      <c r="I26" s="57"/>
      <c r="J26" s="58"/>
      <c r="K26" s="34"/>
    </row>
    <row r="27" spans="1:11" ht="25" customHeight="1">
      <c r="A27" s="52"/>
      <c r="B27" s="53"/>
      <c r="C27" s="56"/>
      <c r="D27" s="34"/>
      <c r="E27" s="34"/>
      <c r="F27" s="35"/>
      <c r="G27" s="36"/>
      <c r="H27" s="36"/>
      <c r="I27" s="57"/>
      <c r="J27" s="58"/>
      <c r="K27" s="34"/>
    </row>
    <row r="28" spans="1:11" ht="25" customHeight="1">
      <c r="A28" s="52"/>
      <c r="B28" s="53"/>
      <c r="C28" s="56"/>
      <c r="D28" s="34"/>
      <c r="E28" s="34"/>
      <c r="F28" s="35"/>
      <c r="G28" s="36"/>
      <c r="H28" s="36"/>
      <c r="I28" s="57"/>
      <c r="J28" s="58"/>
      <c r="K28" s="34"/>
    </row>
    <row r="29" spans="1:11" ht="25" customHeight="1">
      <c r="A29" s="52"/>
      <c r="B29" s="53"/>
      <c r="C29" s="56"/>
      <c r="D29" s="34"/>
      <c r="E29" s="34"/>
      <c r="F29" s="35"/>
      <c r="G29" s="36"/>
      <c r="H29" s="36"/>
      <c r="I29" s="57"/>
      <c r="J29" s="58"/>
      <c r="K29" s="34"/>
    </row>
    <row r="30" spans="1:11" ht="25" customHeight="1">
      <c r="A30" s="52"/>
      <c r="B30" s="53"/>
      <c r="C30" s="56"/>
      <c r="D30" s="34"/>
      <c r="E30" s="34"/>
      <c r="F30" s="35"/>
      <c r="G30" s="36"/>
      <c r="H30" s="36"/>
      <c r="I30" s="57"/>
      <c r="J30" s="58"/>
      <c r="K30" s="34"/>
    </row>
    <row r="31" spans="1:11" ht="25" customHeight="1">
      <c r="A31" s="54"/>
      <c r="B31" s="55"/>
      <c r="C31" s="56"/>
      <c r="D31" s="56" t="s">
        <v>25</v>
      </c>
      <c r="E31" s="56"/>
      <c r="F31" s="56"/>
      <c r="G31" s="56"/>
      <c r="H31" s="56"/>
      <c r="I31" s="59">
        <f>SUM(I23:I30)</f>
        <v>0</v>
      </c>
      <c r="J31" s="60"/>
      <c r="K31" s="37"/>
    </row>
    <row r="32" spans="1:11" ht="25" customHeight="1">
      <c r="A32" s="50" t="s">
        <v>26</v>
      </c>
      <c r="B32" s="51"/>
      <c r="C32" s="56"/>
      <c r="D32" s="34"/>
      <c r="E32" s="34"/>
      <c r="F32" s="38"/>
      <c r="G32" s="36"/>
      <c r="H32" s="36"/>
      <c r="I32" s="57"/>
      <c r="J32" s="58"/>
      <c r="K32" s="34"/>
    </row>
    <row r="33" spans="1:11" ht="25" customHeight="1">
      <c r="A33" s="52"/>
      <c r="B33" s="53"/>
      <c r="C33" s="56"/>
      <c r="D33" s="34"/>
      <c r="E33" s="34"/>
      <c r="F33" s="38"/>
      <c r="G33" s="36"/>
      <c r="H33" s="36"/>
      <c r="I33" s="57"/>
      <c r="J33" s="58"/>
      <c r="K33" s="34"/>
    </row>
    <row r="34" spans="1:11" ht="25" customHeight="1">
      <c r="A34" s="54"/>
      <c r="B34" s="55"/>
      <c r="C34" s="56"/>
      <c r="D34" s="56" t="s">
        <v>25</v>
      </c>
      <c r="E34" s="56"/>
      <c r="F34" s="56"/>
      <c r="G34" s="56"/>
      <c r="H34" s="56"/>
      <c r="I34" s="59">
        <f>SUM(I32:J33)</f>
        <v>0</v>
      </c>
      <c r="J34" s="60"/>
      <c r="K34" s="37"/>
    </row>
    <row r="35" spans="1:11" ht="25" customHeight="1">
      <c r="A35" s="50" t="s">
        <v>27</v>
      </c>
      <c r="B35" s="51"/>
      <c r="C35" s="56"/>
      <c r="D35" s="34"/>
      <c r="E35" s="34"/>
      <c r="F35" s="35"/>
      <c r="G35" s="36"/>
      <c r="H35" s="36"/>
      <c r="I35" s="57"/>
      <c r="J35" s="58"/>
      <c r="K35" s="34"/>
    </row>
    <row r="36" spans="1:11" ht="25" customHeight="1">
      <c r="A36" s="52"/>
      <c r="B36" s="53"/>
      <c r="C36" s="56"/>
      <c r="D36" s="34"/>
      <c r="E36" s="34"/>
      <c r="F36" s="35"/>
      <c r="G36" s="36"/>
      <c r="H36" s="36"/>
      <c r="I36" s="57"/>
      <c r="J36" s="58"/>
      <c r="K36" s="34"/>
    </row>
    <row r="37" spans="1:11" ht="25" customHeight="1">
      <c r="A37" s="52"/>
      <c r="B37" s="53"/>
      <c r="C37" s="56"/>
      <c r="D37" s="34"/>
      <c r="E37" s="34"/>
      <c r="F37" s="35"/>
      <c r="G37" s="36"/>
      <c r="H37" s="36"/>
      <c r="I37" s="57"/>
      <c r="J37" s="58"/>
      <c r="K37" s="34"/>
    </row>
    <row r="38" spans="1:11" ht="25" customHeight="1">
      <c r="A38" s="54"/>
      <c r="B38" s="55"/>
      <c r="C38" s="56"/>
      <c r="D38" s="56" t="s">
        <v>25</v>
      </c>
      <c r="E38" s="56"/>
      <c r="F38" s="56"/>
      <c r="G38" s="56"/>
      <c r="H38" s="56"/>
      <c r="I38" s="59">
        <f>SUM(I35:J37)</f>
        <v>0</v>
      </c>
      <c r="J38" s="60"/>
      <c r="K38" s="37"/>
    </row>
    <row r="39" spans="1:11" ht="25" customHeight="1">
      <c r="A39" s="50" t="s">
        <v>28</v>
      </c>
      <c r="B39" s="51"/>
      <c r="C39" s="56"/>
      <c r="D39" s="62"/>
      <c r="E39" s="34"/>
      <c r="F39" s="35"/>
      <c r="G39" s="36"/>
      <c r="H39" s="36"/>
      <c r="I39" s="57"/>
      <c r="J39" s="58"/>
      <c r="K39" s="34"/>
    </row>
    <row r="40" spans="1:11" ht="25" customHeight="1">
      <c r="A40" s="52"/>
      <c r="B40" s="53"/>
      <c r="C40" s="56"/>
      <c r="D40" s="62"/>
      <c r="E40" s="34"/>
      <c r="F40" s="35"/>
      <c r="G40" s="36"/>
      <c r="H40" s="36"/>
      <c r="I40" s="57"/>
      <c r="J40" s="58"/>
      <c r="K40" s="34"/>
    </row>
    <row r="41" spans="1:11" ht="25" customHeight="1">
      <c r="A41" s="52"/>
      <c r="B41" s="53"/>
      <c r="C41" s="56"/>
      <c r="D41" s="34"/>
      <c r="E41" s="34"/>
      <c r="F41" s="35"/>
      <c r="G41" s="36"/>
      <c r="H41" s="36"/>
      <c r="I41" s="57"/>
      <c r="J41" s="58"/>
      <c r="K41" s="34"/>
    </row>
    <row r="42" spans="1:11" ht="25" customHeight="1">
      <c r="A42" s="52"/>
      <c r="B42" s="53"/>
      <c r="C42" s="56"/>
      <c r="D42" s="34"/>
      <c r="E42" s="34"/>
      <c r="F42" s="35"/>
      <c r="G42" s="36"/>
      <c r="H42" s="36"/>
      <c r="I42" s="57"/>
      <c r="J42" s="58"/>
      <c r="K42" s="34"/>
    </row>
    <row r="43" spans="1:11" ht="25" customHeight="1">
      <c r="A43" s="52"/>
      <c r="B43" s="53"/>
      <c r="C43" s="56"/>
      <c r="D43" s="34"/>
      <c r="E43" s="34"/>
      <c r="F43" s="35"/>
      <c r="G43" s="36"/>
      <c r="H43" s="36"/>
      <c r="I43" s="57"/>
      <c r="J43" s="58"/>
      <c r="K43" s="34"/>
    </row>
    <row r="44" spans="1:11" ht="25" customHeight="1">
      <c r="A44" s="52"/>
      <c r="B44" s="53"/>
      <c r="C44" s="56"/>
      <c r="D44" s="34"/>
      <c r="E44" s="34"/>
      <c r="F44" s="35"/>
      <c r="G44" s="36"/>
      <c r="H44" s="36"/>
      <c r="I44" s="57"/>
      <c r="J44" s="58"/>
      <c r="K44" s="34"/>
    </row>
    <row r="45" spans="1:11" ht="25" customHeight="1">
      <c r="A45" s="54"/>
      <c r="B45" s="55"/>
      <c r="C45" s="56"/>
      <c r="D45" s="56" t="s">
        <v>25</v>
      </c>
      <c r="E45" s="56"/>
      <c r="F45" s="56"/>
      <c r="G45" s="56"/>
      <c r="H45" s="56"/>
      <c r="I45" s="59">
        <f>SUM(I39:J44)</f>
        <v>0</v>
      </c>
      <c r="J45" s="60"/>
      <c r="K45" s="37"/>
    </row>
    <row r="46" spans="1:11" ht="25" customHeight="1">
      <c r="A46" s="50" t="s">
        <v>29</v>
      </c>
      <c r="B46" s="51"/>
      <c r="C46" s="61"/>
      <c r="D46" s="34"/>
      <c r="E46" s="34"/>
      <c r="F46" s="35"/>
      <c r="G46" s="36"/>
      <c r="H46" s="36"/>
      <c r="I46" s="57"/>
      <c r="J46" s="58"/>
      <c r="K46" s="34"/>
    </row>
    <row r="47" spans="1:11" ht="25" customHeight="1">
      <c r="A47" s="54"/>
      <c r="B47" s="55"/>
      <c r="C47" s="56"/>
      <c r="D47" s="56" t="s">
        <v>25</v>
      </c>
      <c r="E47" s="56"/>
      <c r="F47" s="56"/>
      <c r="G47" s="56"/>
      <c r="H47" s="56"/>
      <c r="I47" s="59">
        <f>SUM(I46)</f>
        <v>0</v>
      </c>
      <c r="J47" s="60"/>
      <c r="K47" s="37"/>
    </row>
    <row r="48" spans="1:11" ht="25" customHeight="1">
      <c r="A48" s="63" t="s">
        <v>30</v>
      </c>
      <c r="B48" s="63"/>
      <c r="C48" s="63"/>
      <c r="D48" s="63"/>
      <c r="E48" s="63" t="s">
        <v>31</v>
      </c>
      <c r="F48" s="63"/>
      <c r="G48" s="63"/>
      <c r="H48" s="63"/>
      <c r="I48" s="64">
        <f>ROUNDDOWN(I31+I34+I38+I45+I47, -3)</f>
        <v>0</v>
      </c>
      <c r="J48" s="65"/>
      <c r="K48" s="39"/>
    </row>
    <row r="49" spans="1:11" ht="25" customHeight="1">
      <c r="A49" s="63"/>
      <c r="B49" s="63"/>
      <c r="C49" s="63"/>
      <c r="D49" s="63"/>
      <c r="E49" s="63" t="s">
        <v>32</v>
      </c>
      <c r="F49" s="63"/>
      <c r="G49" s="63"/>
      <c r="H49" s="63"/>
      <c r="I49" s="64">
        <f>I48*1.1</f>
        <v>0</v>
      </c>
      <c r="J49" s="65"/>
      <c r="K49" s="39"/>
    </row>
    <row r="50" spans="1:11" ht="25" customHeight="1">
      <c r="A50" s="63"/>
      <c r="B50" s="63"/>
      <c r="C50" s="63"/>
      <c r="D50" s="63"/>
      <c r="E50" s="63" t="s">
        <v>33</v>
      </c>
      <c r="F50" s="63"/>
      <c r="G50" s="63"/>
      <c r="H50" s="63"/>
      <c r="I50" s="64">
        <f>I48*10</f>
        <v>0</v>
      </c>
      <c r="J50" s="65"/>
      <c r="K50" s="39"/>
    </row>
    <row r="51" spans="1:11" ht="25" customHeight="1">
      <c r="A51" s="63"/>
      <c r="B51" s="63"/>
      <c r="C51" s="63"/>
      <c r="D51" s="63"/>
      <c r="E51" s="63" t="s">
        <v>34</v>
      </c>
      <c r="F51" s="63"/>
      <c r="G51" s="63"/>
      <c r="H51" s="63"/>
      <c r="I51" s="64">
        <f>I50*1.1</f>
        <v>0</v>
      </c>
      <c r="J51" s="65"/>
      <c r="K51" s="39"/>
    </row>
    <row r="52" spans="1:11" s="40" customFormat="1" ht="18" customHeight="1">
      <c r="A52" s="72" t="s">
        <v>35</v>
      </c>
      <c r="B52" s="73"/>
      <c r="C52" s="73"/>
      <c r="D52" s="73"/>
      <c r="E52" s="73"/>
      <c r="F52" s="73"/>
      <c r="G52" s="73"/>
      <c r="H52" s="73"/>
      <c r="I52" s="73"/>
      <c r="J52" s="73"/>
      <c r="K52" s="74"/>
    </row>
    <row r="53" spans="1:11" s="40" customFormat="1" ht="18" customHeight="1">
      <c r="A53" s="66" t="s">
        <v>44</v>
      </c>
      <c r="B53" s="67"/>
      <c r="C53" s="67"/>
      <c r="D53" s="67"/>
      <c r="E53" s="67"/>
      <c r="F53" s="67"/>
      <c r="G53" s="67"/>
      <c r="H53" s="67"/>
      <c r="I53" s="67"/>
      <c r="J53" s="67"/>
      <c r="K53" s="68"/>
    </row>
    <row r="54" spans="1:11" s="40" customFormat="1" ht="18" customHeight="1">
      <c r="A54" s="66" t="s">
        <v>36</v>
      </c>
      <c r="B54" s="67"/>
      <c r="C54" s="67"/>
      <c r="D54" s="67"/>
      <c r="E54" s="67"/>
      <c r="F54" s="67"/>
      <c r="G54" s="67"/>
      <c r="H54" s="67"/>
      <c r="I54" s="67"/>
      <c r="J54" s="67"/>
      <c r="K54" s="68"/>
    </row>
    <row r="55" spans="1:11" s="40" customFormat="1" ht="18" customHeight="1">
      <c r="A55" s="75" t="s">
        <v>37</v>
      </c>
      <c r="B55" s="76"/>
      <c r="C55" s="76"/>
      <c r="D55" s="76"/>
      <c r="E55" s="76"/>
      <c r="F55" s="76"/>
      <c r="G55" s="76"/>
      <c r="H55" s="76"/>
      <c r="I55" s="76"/>
      <c r="J55" s="76"/>
      <c r="K55" s="77"/>
    </row>
    <row r="56" spans="1:11" s="40" customFormat="1" ht="18" customHeight="1">
      <c r="A56" s="66" t="s">
        <v>38</v>
      </c>
      <c r="B56" s="67"/>
      <c r="C56" s="67"/>
      <c r="D56" s="67"/>
      <c r="E56" s="67"/>
      <c r="F56" s="67"/>
      <c r="G56" s="67"/>
      <c r="H56" s="67"/>
      <c r="I56" s="67"/>
      <c r="J56" s="67"/>
      <c r="K56" s="68"/>
    </row>
    <row r="57" spans="1:11" s="40" customFormat="1" ht="18" customHeight="1">
      <c r="A57" s="66" t="s">
        <v>39</v>
      </c>
      <c r="B57" s="67"/>
      <c r="C57" s="67"/>
      <c r="D57" s="67"/>
      <c r="E57" s="67"/>
      <c r="F57" s="67"/>
      <c r="G57" s="67"/>
      <c r="H57" s="67"/>
      <c r="I57" s="67"/>
      <c r="J57" s="67"/>
      <c r="K57" s="68"/>
    </row>
    <row r="58" spans="1:11" ht="18" customHeight="1">
      <c r="A58" s="66" t="s">
        <v>40</v>
      </c>
      <c r="B58" s="67"/>
      <c r="C58" s="67"/>
      <c r="D58" s="67"/>
      <c r="E58" s="67"/>
      <c r="F58" s="67"/>
      <c r="G58" s="67"/>
      <c r="H58" s="67"/>
      <c r="I58" s="67"/>
      <c r="J58" s="67"/>
      <c r="K58" s="68"/>
    </row>
    <row r="59" spans="1:11" ht="18" customHeight="1">
      <c r="A59" s="69" t="s">
        <v>41</v>
      </c>
      <c r="B59" s="70"/>
      <c r="C59" s="70"/>
      <c r="D59" s="70"/>
      <c r="E59" s="70"/>
      <c r="F59" s="70"/>
      <c r="G59" s="70"/>
      <c r="H59" s="70"/>
      <c r="I59" s="70"/>
      <c r="J59" s="70"/>
      <c r="K59" s="71"/>
    </row>
    <row r="60" spans="1:11" s="42" customFormat="1" ht="25" customHeight="1">
      <c r="A60" s="41" t="s">
        <v>42</v>
      </c>
      <c r="B60" s="41"/>
      <c r="D60" s="43"/>
      <c r="E60" s="43"/>
      <c r="F60" s="44"/>
      <c r="J60" s="44"/>
      <c r="K60" s="43"/>
    </row>
    <row r="61" spans="1:11" ht="25" customHeight="1">
      <c r="F61" s="6"/>
    </row>
    <row r="62" spans="1:11" ht="25" customHeight="1">
      <c r="F62" s="6"/>
    </row>
    <row r="63" spans="1:11" ht="25" customHeight="1">
      <c r="F63" s="6"/>
    </row>
    <row r="64" spans="1:11" ht="25" customHeight="1">
      <c r="F64" s="6"/>
    </row>
    <row r="65" spans="6:6" ht="25" customHeight="1">
      <c r="F65" s="6"/>
    </row>
    <row r="66" spans="6:6" ht="25" customHeight="1">
      <c r="F66" s="6"/>
    </row>
    <row r="67" spans="6:6" ht="25" customHeight="1">
      <c r="F67" s="6"/>
    </row>
    <row r="68" spans="6:6" ht="25" customHeight="1">
      <c r="F68" s="6"/>
    </row>
    <row r="69" spans="6:6" ht="25" customHeight="1">
      <c r="F69" s="6"/>
    </row>
    <row r="70" spans="6:6" ht="25" customHeight="1">
      <c r="F70" s="6"/>
    </row>
    <row r="71" spans="6:6" ht="25" customHeight="1">
      <c r="F71" s="6"/>
    </row>
    <row r="72" spans="6:6" ht="25" customHeight="1">
      <c r="F72" s="6"/>
    </row>
    <row r="73" spans="6:6" ht="25" customHeight="1">
      <c r="F73" s="6"/>
    </row>
    <row r="74" spans="6:6" ht="25" customHeight="1">
      <c r="F74" s="6"/>
    </row>
    <row r="75" spans="6:6" ht="25" customHeight="1">
      <c r="F75" s="6"/>
    </row>
    <row r="76" spans="6:6" ht="25" customHeight="1">
      <c r="F76" s="6"/>
    </row>
    <row r="77" spans="6:6" ht="25" customHeight="1">
      <c r="F77" s="6"/>
    </row>
    <row r="78" spans="6:6" ht="25" customHeight="1">
      <c r="F78" s="6"/>
    </row>
    <row r="79" spans="6:6" ht="25" customHeight="1">
      <c r="F79" s="6"/>
    </row>
    <row r="80" spans="6:6" ht="25" customHeight="1">
      <c r="F80" s="6"/>
    </row>
    <row r="81" spans="6:6" ht="25" customHeight="1">
      <c r="F81" s="6"/>
    </row>
    <row r="82" spans="6:6" ht="25" customHeight="1">
      <c r="F82" s="6"/>
    </row>
    <row r="83" spans="6:6" ht="25" customHeight="1">
      <c r="F83" s="6"/>
    </row>
    <row r="84" spans="6:6" ht="25" customHeight="1">
      <c r="F84" s="6"/>
    </row>
    <row r="85" spans="6:6" ht="25" customHeight="1">
      <c r="F85" s="6"/>
    </row>
    <row r="86" spans="6:6" ht="25" customHeight="1"/>
    <row r="87" spans="6:6" ht="25" customHeight="1"/>
    <row r="88" spans="6:6" ht="25" customHeight="1"/>
    <row r="89" spans="6:6" ht="25" customHeight="1"/>
    <row r="90" spans="6:6" ht="25" customHeight="1"/>
    <row r="91" spans="6:6" ht="25" customHeight="1"/>
    <row r="92" spans="6:6" ht="25" customHeight="1"/>
    <row r="93" spans="6:6" ht="25" customHeight="1"/>
    <row r="94" spans="6:6" ht="25" customHeight="1"/>
    <row r="95" spans="6:6" ht="25" customHeight="1"/>
    <row r="96" spans="6: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</sheetData>
  <mergeCells count="62">
    <mergeCell ref="A58:K58"/>
    <mergeCell ref="A59:K59"/>
    <mergeCell ref="A52:K52"/>
    <mergeCell ref="A53:K53"/>
    <mergeCell ref="A54:K54"/>
    <mergeCell ref="A55:K55"/>
    <mergeCell ref="A56:K56"/>
    <mergeCell ref="A57:K57"/>
    <mergeCell ref="A48:D51"/>
    <mergeCell ref="E48:H48"/>
    <mergeCell ref="I48:J48"/>
    <mergeCell ref="E49:H49"/>
    <mergeCell ref="I49:J49"/>
    <mergeCell ref="E50:H50"/>
    <mergeCell ref="I50:J50"/>
    <mergeCell ref="E51:H51"/>
    <mergeCell ref="I51:J51"/>
    <mergeCell ref="I45:J45"/>
    <mergeCell ref="A46:B47"/>
    <mergeCell ref="C46:C47"/>
    <mergeCell ref="I46:J46"/>
    <mergeCell ref="D47:H47"/>
    <mergeCell ref="I47:J47"/>
    <mergeCell ref="A39:B45"/>
    <mergeCell ref="C39:C45"/>
    <mergeCell ref="D39:D40"/>
    <mergeCell ref="I39:J39"/>
    <mergeCell ref="I40:J40"/>
    <mergeCell ref="I41:J41"/>
    <mergeCell ref="I42:J42"/>
    <mergeCell ref="I43:J43"/>
    <mergeCell ref="I44:J44"/>
    <mergeCell ref="D45:H45"/>
    <mergeCell ref="A35:B38"/>
    <mergeCell ref="C35:C38"/>
    <mergeCell ref="I35:J35"/>
    <mergeCell ref="I36:J36"/>
    <mergeCell ref="I37:J37"/>
    <mergeCell ref="D38:H38"/>
    <mergeCell ref="I38:J38"/>
    <mergeCell ref="A32:B34"/>
    <mergeCell ref="C32:C34"/>
    <mergeCell ref="I32:J32"/>
    <mergeCell ref="I33:J33"/>
    <mergeCell ref="D34:H34"/>
    <mergeCell ref="I34:J34"/>
    <mergeCell ref="A7:K8"/>
    <mergeCell ref="A19:C19"/>
    <mergeCell ref="A22:C22"/>
    <mergeCell ref="I22:J22"/>
    <mergeCell ref="A23:B31"/>
    <mergeCell ref="C23:C31"/>
    <mergeCell ref="I23:J23"/>
    <mergeCell ref="I24:J24"/>
    <mergeCell ref="I25:J25"/>
    <mergeCell ref="I26:J26"/>
    <mergeCell ref="I27:J27"/>
    <mergeCell ref="I28:J28"/>
    <mergeCell ref="I29:J29"/>
    <mergeCell ref="I30:J30"/>
    <mergeCell ref="D31:H31"/>
    <mergeCell ref="I31:J31"/>
  </mergeCells>
  <phoneticPr fontId="2" type="noConversion"/>
  <pageMargins left="0.25" right="0.25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신예림</dc:creator>
  <cp:lastModifiedBy>김도현</cp:lastModifiedBy>
  <dcterms:created xsi:type="dcterms:W3CDTF">2026-07-15T08:14:00Z</dcterms:created>
  <dcterms:modified xsi:type="dcterms:W3CDTF">2026-07-28T03:53:12Z</dcterms:modified>
</cp:coreProperties>
</file>