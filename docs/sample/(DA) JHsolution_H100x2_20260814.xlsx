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ohyeonkim/업무용/gcube영업/고객사/JH솔루션/"/>
    </mc:Choice>
  </mc:AlternateContent>
  <xr:revisionPtr revIDLastSave="0" documentId="13_ncr:1_{1D47AC3F-36CA-E14F-8E2D-FBC494099433}" xr6:coauthVersionLast="47" xr6:coauthVersionMax="47" xr10:uidLastSave="{00000000-0000-0000-0000-000000000000}"/>
  <bookViews>
    <workbookView xWindow="36000" yWindow="-10480" windowWidth="38400" windowHeight="21000" tabRatio="500" activeTab="2" xr2:uid="{00000000-000D-0000-FFFF-FFFF00000000}"/>
  </bookViews>
  <sheets>
    <sheet name="견적서" sheetId="2" r:id="rId1"/>
    <sheet name="원가마진" sheetId="3" r:id="rId2"/>
    <sheet name="쉬운표" sheetId="4" r:id="rId3"/>
  </sheets>
  <definedNames>
    <definedName name="_xlnm.Print_Area" localSheetId="0">견적서!$A$1:$I$23</definedName>
    <definedName name="_xlnm.Print_Area" localSheetId="1">원가마진!$A$1:$J$27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4" l="1"/>
  <c r="C6" i="4"/>
  <c r="E14" i="2"/>
  <c r="H14" i="2" s="1"/>
  <c r="D11" i="3"/>
  <c r="H4" i="2"/>
  <c r="E9" i="3"/>
  <c r="F9" i="3" s="1"/>
  <c r="G9" i="3"/>
  <c r="H9" i="3" s="1"/>
  <c r="E10" i="3"/>
  <c r="F10" i="3" s="1"/>
  <c r="G10" i="3"/>
  <c r="H10" i="3" s="1"/>
  <c r="G11" i="3"/>
  <c r="C14" i="3"/>
  <c r="I10" i="3" l="1"/>
  <c r="I9" i="3"/>
  <c r="B9" i="2"/>
  <c r="H11" i="3" l="1"/>
  <c r="E11" i="3"/>
  <c r="F11" i="3" s="1"/>
  <c r="H15" i="2"/>
  <c r="H16" i="2" l="1"/>
  <c r="C19" i="3"/>
  <c r="I11" i="3"/>
  <c r="E4" i="4" l="1"/>
  <c r="E8" i="4" s="1"/>
  <c r="C4" i="4"/>
  <c r="C8" i="4" s="1"/>
  <c r="I17" i="2"/>
  <c r="H17" i="2"/>
  <c r="D19" i="3"/>
  <c r="B15" i="3"/>
  <c r="C15" i="3" s="1"/>
  <c r="D15" i="3" l="1"/>
  <c r="G19" i="3"/>
  <c r="B8" i="2"/>
  <c r="B19" i="3" l="1"/>
  <c r="E15" i="3"/>
  <c r="F15" i="3" s="1"/>
  <c r="H15" i="3" s="1"/>
  <c r="F19" i="3" l="1"/>
  <c r="E1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tc={06F8FC31-08B8-2746-9727-0E2CDFC1D364}</author>
  </authors>
  <commentList>
    <comment ref="C15" authorId="0" shapeId="0" xr:uid="{06F8FC31-08B8-2746-9727-0E2CDFC1D36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3.3% 적용해서 강성규 상무 지급, 필요서류 확인, 평택이나 사업으로 진행하면 안됨</t>
      </text>
    </comment>
  </commentList>
</comments>
</file>

<file path=xl/sharedStrings.xml><?xml version="1.0" encoding="utf-8"?>
<sst xmlns="http://schemas.openxmlformats.org/spreadsheetml/2006/main" count="99" uniqueCount="97">
  <si>
    <t>견   적   서</t>
  </si>
  <si>
    <t>Q  U  O  T  A  T  I  O  N</t>
  </si>
  <si>
    <t>담당부서</t>
  </si>
  <si>
    <t>영업대표</t>
  </si>
  <si>
    <t xml:space="preserve">  김 도 현  본부장</t>
  </si>
  <si>
    <t>전화번호</t>
  </si>
  <si>
    <t xml:space="preserve">  010-4952-1219</t>
  </si>
  <si>
    <t>E-Mail</t>
  </si>
  <si>
    <t xml:space="preserve">  michaelkim@data-alliance.com</t>
  </si>
  <si>
    <t>구  분</t>
  </si>
  <si>
    <t>품  목  및  상  세  내  역</t>
  </si>
  <si>
    <t>단위</t>
  </si>
  <si>
    <t>비  고</t>
  </si>
  <si>
    <r>
      <rPr>
        <b/>
        <sz val="9"/>
        <color rgb="FF000000"/>
        <rFont val="Noto Sans CJK SC"/>
        <family val="2"/>
      </rPr>
      <t>마진율</t>
    </r>
    <r>
      <rPr>
        <b/>
        <sz val="9"/>
        <color rgb="FF000000"/>
        <rFont val="맑은 고딕"/>
        <family val="2"/>
        <charset val="129"/>
      </rPr>
      <t>(</t>
    </r>
    <r>
      <rPr>
        <b/>
        <sz val="9"/>
        <color rgb="FF000000"/>
        <rFont val="Noto Sans CJK SC"/>
        <family val="2"/>
      </rPr>
      <t>판매</t>
    </r>
    <r>
      <rPr>
        <b/>
        <sz val="9"/>
        <color rgb="FF000000"/>
        <rFont val="맑은 고딕"/>
        <family val="2"/>
        <charset val="129"/>
      </rPr>
      <t>)</t>
    </r>
  </si>
  <si>
    <t>견적 유효일수</t>
  </si>
  <si>
    <r>
      <rPr>
        <b/>
        <sz val="9"/>
        <color rgb="FF000000"/>
        <rFont val="Noto Sans CJK SC"/>
        <family val="2"/>
      </rPr>
      <t>이용 기간</t>
    </r>
    <r>
      <rPr>
        <b/>
        <sz val="9"/>
        <color rgb="FF000000"/>
        <rFont val="맑은 고딕"/>
        <family val="2"/>
        <charset val="129"/>
      </rPr>
      <t>(</t>
    </r>
    <r>
      <rPr>
        <b/>
        <sz val="9"/>
        <color rgb="FF000000"/>
        <rFont val="Noto Sans CJK SC"/>
        <family val="2"/>
      </rPr>
      <t>일</t>
    </r>
    <r>
      <rPr>
        <b/>
        <sz val="9"/>
        <color rgb="FF000000"/>
        <rFont val="맑은 고딕"/>
        <family val="2"/>
        <charset val="129"/>
      </rPr>
      <t>)</t>
    </r>
  </si>
  <si>
    <r>
      <rPr>
        <b/>
        <sz val="9"/>
        <color rgb="FF000000"/>
        <rFont val="Noto Sans CJK SC"/>
        <family val="2"/>
      </rPr>
      <t>이용 시간</t>
    </r>
    <r>
      <rPr>
        <b/>
        <sz val="9"/>
        <color rgb="FF000000"/>
        <rFont val="맑은 고딕"/>
        <family val="2"/>
        <charset val="129"/>
      </rPr>
      <t>(h)</t>
    </r>
  </si>
  <si>
    <t>계약 시작</t>
  </si>
  <si>
    <t>계약 종료</t>
  </si>
  <si>
    <t>항목</t>
  </si>
  <si>
    <r>
      <rPr>
        <b/>
        <sz val="8.5"/>
        <color rgb="FFFFFFFF"/>
        <rFont val="Noto Sans CJK SC"/>
        <family val="2"/>
      </rPr>
      <t>원가 단가</t>
    </r>
    <r>
      <rPr>
        <b/>
        <sz val="8.5"/>
        <color rgb="FFFFFFFF"/>
        <rFont val="맑은 고딕"/>
        <family val="2"/>
        <charset val="129"/>
      </rPr>
      <t>(</t>
    </r>
    <r>
      <rPr>
        <b/>
        <sz val="8.5"/>
        <color rgb="FFFFFFFF"/>
        <rFont val="Noto Sans CJK SC"/>
        <family val="2"/>
      </rPr>
      <t>원</t>
    </r>
    <r>
      <rPr>
        <b/>
        <sz val="8.5"/>
        <color rgb="FFFFFFFF"/>
        <rFont val="맑은 고딕"/>
        <family val="2"/>
        <charset val="129"/>
      </rPr>
      <t>)</t>
    </r>
  </si>
  <si>
    <t>기준①</t>
  </si>
  <si>
    <r>
      <rPr>
        <b/>
        <sz val="8.5"/>
        <color rgb="FFFFFFFF"/>
        <rFont val="Noto Sans CJK SC"/>
        <family val="2"/>
      </rPr>
      <t>기준②</t>
    </r>
    <r>
      <rPr>
        <b/>
        <sz val="8.5"/>
        <color rgb="FFFFFFFF"/>
        <rFont val="맑은 고딕"/>
        <family val="2"/>
        <charset val="129"/>
      </rPr>
      <t>(h)</t>
    </r>
  </si>
  <si>
    <r>
      <rPr>
        <b/>
        <sz val="8.5"/>
        <color rgb="FFFFFFFF"/>
        <rFont val="Noto Sans CJK SC"/>
        <family val="2"/>
      </rPr>
      <t>원가 금액</t>
    </r>
    <r>
      <rPr>
        <b/>
        <sz val="8.5"/>
        <color rgb="FFFFFFFF"/>
        <rFont val="맑은 고딕"/>
        <family val="2"/>
        <charset val="129"/>
      </rPr>
      <t>(</t>
    </r>
    <r>
      <rPr>
        <b/>
        <sz val="8.5"/>
        <color rgb="FFFFFFFF"/>
        <rFont val="Noto Sans CJK SC"/>
        <family val="2"/>
      </rPr>
      <t>원</t>
    </r>
    <r>
      <rPr>
        <b/>
        <sz val="8.5"/>
        <color rgb="FFFFFFFF"/>
        <rFont val="맑은 고딕"/>
        <family val="2"/>
        <charset val="129"/>
      </rPr>
      <t>)</t>
    </r>
  </si>
  <si>
    <r>
      <rPr>
        <b/>
        <sz val="8.5"/>
        <color rgb="FFFFFFFF"/>
        <rFont val="Noto Sans CJK SC"/>
        <family val="2"/>
      </rPr>
      <t>판매 단가</t>
    </r>
    <r>
      <rPr>
        <b/>
        <sz val="8.5"/>
        <color rgb="FFFFFFFF"/>
        <rFont val="맑은 고딕"/>
        <family val="2"/>
        <charset val="129"/>
      </rPr>
      <t>(</t>
    </r>
    <r>
      <rPr>
        <b/>
        <sz val="8.5"/>
        <color rgb="FFFFFFFF"/>
        <rFont val="Noto Sans CJK SC"/>
        <family val="2"/>
      </rPr>
      <t>원</t>
    </r>
    <r>
      <rPr>
        <b/>
        <sz val="8.5"/>
        <color rgb="FFFFFFFF"/>
        <rFont val="맑은 고딕"/>
        <family val="2"/>
        <charset val="129"/>
      </rPr>
      <t>)</t>
    </r>
  </si>
  <si>
    <r>
      <rPr>
        <b/>
        <sz val="8.5"/>
        <color rgb="FFFFFFFF"/>
        <rFont val="Noto Sans CJK SC"/>
        <family val="2"/>
      </rPr>
      <t>판매 금액</t>
    </r>
    <r>
      <rPr>
        <b/>
        <sz val="8.5"/>
        <color rgb="FFFFFFFF"/>
        <rFont val="맑은 고딕"/>
        <family val="2"/>
        <charset val="129"/>
      </rPr>
      <t>(</t>
    </r>
    <r>
      <rPr>
        <b/>
        <sz val="8.5"/>
        <color rgb="FFFFFFFF"/>
        <rFont val="Noto Sans CJK SC"/>
        <family val="2"/>
      </rPr>
      <t>원</t>
    </r>
    <r>
      <rPr>
        <b/>
        <sz val="8.5"/>
        <color rgb="FFFFFFFF"/>
        <rFont val="맑은 고딕"/>
        <family val="2"/>
        <charset val="129"/>
      </rPr>
      <t>)</t>
    </r>
  </si>
  <si>
    <r>
      <rPr>
        <b/>
        <sz val="8.5"/>
        <color rgb="FFFFFFFF"/>
        <rFont val="Noto Sans CJK SC"/>
        <family val="2"/>
      </rPr>
      <t>라인 마진</t>
    </r>
    <r>
      <rPr>
        <b/>
        <sz val="8.5"/>
        <color rgb="FFFFFFFF"/>
        <rFont val="맑은 고딕"/>
        <family val="2"/>
        <charset val="129"/>
      </rPr>
      <t>(</t>
    </r>
    <r>
      <rPr>
        <b/>
        <sz val="8.5"/>
        <color rgb="FFFFFFFF"/>
        <rFont val="Noto Sans CJK SC"/>
        <family val="2"/>
      </rPr>
      <t>원</t>
    </r>
    <r>
      <rPr>
        <b/>
        <sz val="8.5"/>
        <color rgb="FFFFFFFF"/>
        <rFont val="맑은 고딕"/>
        <family val="2"/>
        <charset val="129"/>
      </rPr>
      <t>)</t>
    </r>
  </si>
  <si>
    <t>비고</t>
  </si>
  <si>
    <t>구분</t>
  </si>
  <si>
    <t>원가 소계</t>
  </si>
  <si>
    <r>
      <rPr>
        <b/>
        <sz val="8.5"/>
        <color rgb="FFFFFFFF"/>
        <rFont val="Noto Sans CJK SC"/>
        <family val="2"/>
      </rPr>
      <t>공급가액</t>
    </r>
    <r>
      <rPr>
        <b/>
        <sz val="8.5"/>
        <color rgb="FFFFFFFF"/>
        <rFont val="맑은 고딕"/>
        <family val="2"/>
        <charset val="129"/>
      </rPr>
      <t>(</t>
    </r>
    <r>
      <rPr>
        <b/>
        <sz val="8.5"/>
        <color rgb="FFFFFFFF"/>
        <rFont val="Noto Sans CJK SC"/>
        <family val="2"/>
      </rPr>
      <t>원가</t>
    </r>
    <r>
      <rPr>
        <b/>
        <sz val="8.5"/>
        <color rgb="FFFFFFFF"/>
        <rFont val="맑은 고딕"/>
        <family val="2"/>
        <charset val="129"/>
      </rPr>
      <t>)</t>
    </r>
  </si>
  <si>
    <r>
      <rPr>
        <b/>
        <sz val="8.5"/>
        <color rgb="FFFFFFFF"/>
        <rFont val="Noto Sans CJK SC"/>
        <family val="2"/>
      </rPr>
      <t>부가세</t>
    </r>
    <r>
      <rPr>
        <b/>
        <sz val="8.5"/>
        <color rgb="FFFFFFFF"/>
        <rFont val="맑은 고딕"/>
        <family val="2"/>
        <charset val="129"/>
      </rPr>
      <t>(</t>
    </r>
    <r>
      <rPr>
        <b/>
        <sz val="8.5"/>
        <color rgb="FFFFFFFF"/>
        <rFont val="Noto Sans CJK SC"/>
        <family val="2"/>
      </rPr>
      <t>절사</t>
    </r>
    <r>
      <rPr>
        <b/>
        <sz val="8.5"/>
        <color rgb="FFFFFFFF"/>
        <rFont val="맑은 고딕"/>
        <family val="2"/>
        <charset val="129"/>
      </rPr>
      <t>)</t>
    </r>
  </si>
  <si>
    <r>
      <rPr>
        <b/>
        <sz val="8.5"/>
        <color rgb="FFFFFFFF"/>
        <rFont val="Noto Sans CJK SC"/>
        <family val="2"/>
      </rPr>
      <t>총액</t>
    </r>
    <r>
      <rPr>
        <b/>
        <sz val="8.5"/>
        <color rgb="FFFFFFFF"/>
        <rFont val="맑은 고딕"/>
        <family val="2"/>
        <charset val="129"/>
      </rPr>
      <t>(VAT</t>
    </r>
    <r>
      <rPr>
        <b/>
        <sz val="8.5"/>
        <color rgb="FFFFFFFF"/>
        <rFont val="Noto Sans CJK SC"/>
        <family val="2"/>
      </rPr>
      <t>포함</t>
    </r>
    <r>
      <rPr>
        <b/>
        <sz val="8.5"/>
        <color rgb="FFFFFFFF"/>
        <rFont val="맑은 고딕"/>
        <family val="2"/>
        <charset val="129"/>
      </rPr>
      <t>)</t>
    </r>
  </si>
  <si>
    <t>검증</t>
  </si>
  <si>
    <t>■ 판매 요약 — 시트별 견적 결과</t>
  </si>
  <si>
    <r>
      <rPr>
        <b/>
        <sz val="8.5"/>
        <color rgb="FFFFFFFF"/>
        <rFont val="Noto Sans CJK SC"/>
        <family val="2"/>
      </rPr>
      <t xml:space="preserve">구분 </t>
    </r>
    <r>
      <rPr>
        <b/>
        <sz val="8.5"/>
        <color rgb="FFFFFFFF"/>
        <rFont val="맑은 고딕"/>
        <family val="2"/>
        <charset val="129"/>
      </rPr>
      <t>(</t>
    </r>
    <r>
      <rPr>
        <b/>
        <sz val="8.5"/>
        <color rgb="FFFFFFFF"/>
        <rFont val="Noto Sans CJK SC"/>
        <family val="2"/>
      </rPr>
      <t>시트</t>
    </r>
    <r>
      <rPr>
        <b/>
        <sz val="8.5"/>
        <color rgb="FFFFFFFF"/>
        <rFont val="맑은 고딕"/>
        <family val="2"/>
        <charset val="129"/>
      </rPr>
      <t>)</t>
    </r>
  </si>
  <si>
    <t>원가 공급가액</t>
  </si>
  <si>
    <r>
      <rPr>
        <b/>
        <sz val="8.5"/>
        <color rgb="FFFFFFFF"/>
        <rFont val="Noto Sans CJK SC"/>
        <family val="2"/>
      </rPr>
      <t>판매 소계</t>
    </r>
    <r>
      <rPr>
        <b/>
        <sz val="8.5"/>
        <color rgb="FFFFFFFF"/>
        <rFont val="맑은 고딕"/>
        <family val="2"/>
        <charset val="129"/>
      </rPr>
      <t>(VAT</t>
    </r>
    <r>
      <rPr>
        <b/>
        <sz val="8.5"/>
        <color rgb="FFFFFFFF"/>
        <rFont val="Noto Sans CJK SC"/>
        <family val="2"/>
      </rPr>
      <t>별도</t>
    </r>
    <r>
      <rPr>
        <b/>
        <sz val="8.5"/>
        <color rgb="FFFFFFFF"/>
        <rFont val="맑은 고딕"/>
        <family val="2"/>
        <charset val="129"/>
      </rPr>
      <t>)</t>
    </r>
  </si>
  <si>
    <r>
      <rPr>
        <b/>
        <sz val="8.5"/>
        <color rgb="FFFFFFFF"/>
        <rFont val="Noto Sans CJK SC"/>
        <family val="2"/>
      </rPr>
      <t>제안가</t>
    </r>
    <r>
      <rPr>
        <b/>
        <sz val="8.5"/>
        <color rgb="FFFFFFFF"/>
        <rFont val="맑은 고딕"/>
        <family val="2"/>
        <charset val="129"/>
      </rPr>
      <t>(VAT</t>
    </r>
    <r>
      <rPr>
        <b/>
        <sz val="8.5"/>
        <color rgb="FFFFFFFF"/>
        <rFont val="Noto Sans CJK SC"/>
        <family val="2"/>
      </rPr>
      <t>별도</t>
    </r>
    <r>
      <rPr>
        <b/>
        <sz val="8.5"/>
        <color rgb="FFFFFFFF"/>
        <rFont val="맑은 고딕"/>
        <family val="2"/>
        <charset val="129"/>
      </rPr>
      <t>)</t>
    </r>
  </si>
  <si>
    <r>
      <rPr>
        <b/>
        <sz val="8.5"/>
        <color rgb="FFFFFFFF"/>
        <rFont val="Noto Sans CJK SC"/>
        <family val="2"/>
      </rPr>
      <t>마진액</t>
    </r>
    <r>
      <rPr>
        <b/>
        <sz val="8.5"/>
        <color rgb="FFFFFFFF"/>
        <rFont val="맑은 고딕"/>
        <family val="2"/>
        <charset val="129"/>
      </rPr>
      <t>(</t>
    </r>
    <r>
      <rPr>
        <b/>
        <sz val="8.5"/>
        <color rgb="FFFFFFFF"/>
        <rFont val="Noto Sans CJK SC"/>
        <family val="2"/>
      </rPr>
      <t>제안가</t>
    </r>
    <r>
      <rPr>
        <b/>
        <sz val="8.5"/>
        <color rgb="FFFFFFFF"/>
        <rFont val="맑은 고딕"/>
        <family val="2"/>
        <charset val="129"/>
      </rPr>
      <t>-</t>
    </r>
    <r>
      <rPr>
        <b/>
        <sz val="8.5"/>
        <color rgb="FFFFFFFF"/>
        <rFont val="Noto Sans CJK SC"/>
        <family val="2"/>
      </rPr>
      <t>원가</t>
    </r>
    <r>
      <rPr>
        <b/>
        <sz val="8.5"/>
        <color rgb="FFFFFFFF"/>
        <rFont val="맑은 고딕"/>
        <family val="2"/>
        <charset val="129"/>
      </rPr>
      <t>)</t>
    </r>
  </si>
  <si>
    <t>실효 마진율</t>
  </si>
  <si>
    <r>
      <rPr>
        <b/>
        <sz val="8.5"/>
        <color rgb="FFFFFFFF"/>
        <rFont val="Noto Sans CJK SC"/>
        <family val="2"/>
      </rPr>
      <t>제안가</t>
    </r>
    <r>
      <rPr>
        <b/>
        <sz val="8.5"/>
        <color rgb="FFFFFFFF"/>
        <rFont val="맑은 고딕"/>
        <family val="2"/>
        <charset val="129"/>
      </rPr>
      <t>(VAT</t>
    </r>
    <r>
      <rPr>
        <b/>
        <sz val="8.5"/>
        <color rgb="FFFFFFFF"/>
        <rFont val="Noto Sans CJK SC"/>
        <family val="2"/>
      </rPr>
      <t>포함</t>
    </r>
    <r>
      <rPr>
        <b/>
        <sz val="8.5"/>
        <color rgb="FFFFFFFF"/>
        <rFont val="맑은 고딕"/>
        <family val="2"/>
        <charset val="129"/>
      </rPr>
      <t>)</t>
    </r>
  </si>
  <si>
    <t>데이터얼라이언스 주식회사   대표이사 이 광 범   사업자등록번호 415-81-56947</t>
  </si>
  <si>
    <t>부산광역시 남구 문현금융로40, 9층 3호 (문현동, 부산국제금융센터)</t>
  </si>
  <si>
    <t>수 신 :   JH솔루션</t>
  </si>
  <si>
    <t>참 조 :</t>
  </si>
  <si>
    <t>1. 견 적 일 자</t>
  </si>
  <si>
    <t xml:space="preserve">  AX사업본부</t>
  </si>
  <si>
    <t>2. 사  업  명</t>
  </si>
  <si>
    <t>3. 견 적 금 액</t>
  </si>
  <si>
    <t>4. 견적유효기간</t>
  </si>
  <si>
    <t>5. 결 제 조 건</t>
  </si>
  <si>
    <t>단가(원/h)</t>
  </si>
  <si>
    <t>금  액 (원)</t>
  </si>
  <si>
    <t>GPU 인스턴스</t>
  </si>
  <si>
    <t>소   계  (VAT 별도)</t>
  </si>
  <si>
    <t>제 안 가  (VAT 별도)</t>
  </si>
  <si>
    <t>제 안 가  (VAT 포함)</t>
  </si>
  <si>
    <t>※ 상기 단가는 시간당 요금 기준이며, GPU 인스턴스는 약정형(1개월 단위) 요금제입니다</t>
  </si>
  <si>
    <t>※ 스토리지·공인 IP는 표기 수량 기준 산정이며, 초과 사용 시 동일 단가로 별도 정산합니다</t>
  </si>
  <si>
    <t>※ 견적 유효기간 경과 시 GPU 시장 가격 변동에 따라 재견적이 필요합니다</t>
  </si>
  <si>
    <t>※ 계정 발급·온보딩 및 기본 기술지원(평일 업무시간) 포함 · 상기 금액은 VAT 별도 기준, 제안가(VAT 포함)는 부가세 10% 적용 금액입니다</t>
  </si>
  <si>
    <t>:  계약 체결 시 선불 100% (전자세금계산서 발행 즉시)</t>
    <phoneticPr fontId="17" type="noConversion"/>
  </si>
  <si>
    <t>※ 본 견적은 이용 기간 변경 시 금액이 변동됩니다</t>
    <phoneticPr fontId="17" type="noConversion"/>
  </si>
  <si>
    <t>* Japan-region servers, one-day testing period will be provided</t>
    <phoneticPr fontId="17" type="noConversion"/>
  </si>
  <si>
    <t>H100 SXM ×4</t>
    <phoneticPr fontId="17" type="noConversion"/>
  </si>
  <si>
    <t>파트너제공</t>
    <phoneticPr fontId="17" type="noConversion"/>
  </si>
  <si>
    <t>파트너수수료 포함 원가(원)</t>
    <phoneticPr fontId="17" type="noConversion"/>
  </si>
  <si>
    <t>매입 견적서</t>
    <phoneticPr fontId="17" type="noConversion"/>
  </si>
  <si>
    <t>외국이라 부가세?</t>
    <phoneticPr fontId="17" type="noConversion"/>
  </si>
  <si>
    <t>기준환율</t>
    <phoneticPr fontId="17" type="noConversion"/>
  </si>
  <si>
    <r>
      <t>원가</t>
    </r>
    <r>
      <rPr>
        <b/>
        <sz val="11"/>
        <color rgb="FFFFFFFF"/>
        <rFont val="맑은 고딕"/>
        <family val="2"/>
        <charset val="129"/>
      </rPr>
      <t>·</t>
    </r>
    <r>
      <rPr>
        <b/>
        <sz val="11"/>
        <color rgb="FFFFFFFF"/>
        <rFont val="Noto Sans CJK SC"/>
        <family val="2"/>
      </rPr>
      <t xml:space="preserve">마진 산출 </t>
    </r>
    <r>
      <rPr>
        <b/>
        <sz val="11"/>
        <color rgb="FFFFFFFF"/>
        <rFont val="맑은 고딕"/>
        <family val="2"/>
        <charset val="129"/>
      </rPr>
      <t>(</t>
    </r>
    <r>
      <rPr>
        <b/>
        <sz val="11"/>
        <color rgb="FFFFFFFF"/>
        <rFont val="Noto Sans CJK SC"/>
        <family val="2"/>
      </rPr>
      <t xml:space="preserve">대외비 </t>
    </r>
    <r>
      <rPr>
        <b/>
        <sz val="11"/>
        <color rgb="FFFFFFFF"/>
        <rFont val="맑은 고딕"/>
        <family val="2"/>
        <charset val="129"/>
      </rPr>
      <t xml:space="preserve">· </t>
    </r>
    <r>
      <rPr>
        <b/>
        <sz val="11"/>
        <color rgb="FFFFFFFF"/>
        <rFont val="Noto Sans CJK SC"/>
        <family val="2"/>
      </rPr>
      <t>내부 검토용</t>
    </r>
    <r>
      <rPr>
        <b/>
        <sz val="11"/>
        <color rgb="FFFFFFFF"/>
        <rFont val="맑은 고딕"/>
        <family val="2"/>
        <charset val="129"/>
      </rPr>
      <t>)</t>
    </r>
    <phoneticPr fontId="17" type="noConversion"/>
  </si>
  <si>
    <t>블록 스토리지</t>
    <phoneticPr fontId="17" type="noConversion"/>
  </si>
  <si>
    <r>
      <t xml:space="preserve">공인 </t>
    </r>
    <r>
      <rPr>
        <sz val="8.5"/>
        <color rgb="FF000000"/>
        <rFont val="맑은 고딕"/>
        <family val="2"/>
        <charset val="129"/>
      </rPr>
      <t xml:space="preserve">IP </t>
    </r>
    <phoneticPr fontId="17" type="noConversion"/>
  </si>
  <si>
    <t>H100 ×2</t>
    <phoneticPr fontId="17" type="noConversion"/>
  </si>
  <si>
    <r>
      <t>견적서</t>
    </r>
    <r>
      <rPr>
        <b/>
        <sz val="8.5"/>
        <color rgb="FF000000"/>
        <rFont val="맑은 고딕"/>
        <family val="2"/>
        <charset val="129"/>
      </rPr>
      <t>_H100x2</t>
    </r>
    <phoneticPr fontId="17" type="noConversion"/>
  </si>
  <si>
    <t>:  2026-08-14</t>
    <phoneticPr fontId="17" type="noConversion"/>
  </si>
  <si>
    <t>:  NVIDIA H100 GPU 클라우드 인프라 제공 — H100 × 2ea 구성 (2026.09.01 ~ 11.13)</t>
    <phoneticPr fontId="17" type="noConversion"/>
  </si>
  <si>
    <t>GPU Model :
H100(SXM5) x 2
vCPU core : 64
RAM :896 GB
Storage(NVMe SSD) : 2000GB
약정형(1개월 단위) 요금제</t>
    <phoneticPr fontId="17" type="noConversion"/>
  </si>
  <si>
    <t>견 적 내 역 — NVIDIA H100 × 2ea 구성 (1,752시간)</t>
    <phoneticPr fontId="17" type="noConversion"/>
  </si>
  <si>
    <t>시간환상(h)</t>
    <phoneticPr fontId="17" type="noConversion"/>
  </si>
  <si>
    <t>수량</t>
    <phoneticPr fontId="17" type="noConversion"/>
  </si>
  <si>
    <t>장수</t>
    <phoneticPr fontId="17" type="noConversion"/>
  </si>
  <si>
    <t>장</t>
    <phoneticPr fontId="17" type="noConversion"/>
  </si>
  <si>
    <t>매출</t>
    <phoneticPr fontId="17" type="noConversion"/>
  </si>
  <si>
    <t>비고</t>
    <phoneticPr fontId="17" type="noConversion"/>
  </si>
  <si>
    <t>금액</t>
    <phoneticPr fontId="17" type="noConversion"/>
  </si>
  <si>
    <t>Konsttech, USD</t>
    <phoneticPr fontId="17" type="noConversion"/>
  </si>
  <si>
    <t>매입(원화)</t>
    <phoneticPr fontId="17" type="noConversion"/>
  </si>
  <si>
    <t>매입(달러)</t>
    <phoneticPr fontId="17" type="noConversion"/>
  </si>
  <si>
    <t>인센티브</t>
    <phoneticPr fontId="17" type="noConversion"/>
  </si>
  <si>
    <t>강</t>
    <phoneticPr fontId="17" type="noConversion"/>
  </si>
  <si>
    <t>마진</t>
    <phoneticPr fontId="17" type="noConversion"/>
  </si>
  <si>
    <t>-&gt;</t>
    <phoneticPr fontId="17" type="noConversion"/>
  </si>
  <si>
    <t>VAT별도</t>
    <phoneticPr fontId="17" type="noConversion"/>
  </si>
  <si>
    <t>환율이 떨어져서 이익이 더 높음</t>
    <phoneticPr fontId="17" type="noConversion"/>
  </si>
  <si>
    <t>2026.8.24일 환율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</si>
</sst>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76" formatCode="0.0000"/>
    <numFmt numFmtId="177" formatCode="#,##0&quot; 원&quot;"/>
    <numFmt numFmtId="178" formatCode="0.0%"/>
    <numFmt numFmtId="179" formatCode="0.000%"/>
    <numFmt numFmtId="180" formatCode="#,##0.000"/>
    <numFmt numFmtId="183" formatCode="m&quot;월&quot;\ d&quot;일&quot;"/>
  </numFmts>
  <fonts count="38">
    <font>
      <sz val="11"/>
      <color theme="1"/>
      <name val="Calibri"/>
      <family val="2"/>
      <charset val="1"/>
    </font>
    <font>
      <sz val="8"/>
      <color rgb="FF595959"/>
      <name val="Noto Sans CJK SC"/>
      <family val="2"/>
    </font>
    <font>
      <sz val="8"/>
      <color rgb="FF595959"/>
      <name val="맑은 고딕"/>
      <family val="2"/>
      <charset val="129"/>
    </font>
    <font>
      <b/>
      <sz val="9"/>
      <color rgb="FF000000"/>
      <name val="맑은 고딕"/>
      <family val="2"/>
      <charset val="129"/>
    </font>
    <font>
      <b/>
      <sz val="9"/>
      <color rgb="FF000000"/>
      <name val="Noto Sans CJK SC"/>
      <family val="2"/>
    </font>
    <font>
      <sz val="9"/>
      <color rgb="FF000000"/>
      <name val="맑은 고딕"/>
      <family val="2"/>
      <charset val="129"/>
    </font>
    <font>
      <b/>
      <sz val="9.5"/>
      <color rgb="FF1F4E79"/>
      <name val="Noto Sans CJK SC"/>
      <family val="2"/>
    </font>
    <font>
      <sz val="8.5"/>
      <color rgb="FF000000"/>
      <name val="맑은 고딕"/>
      <family val="2"/>
      <charset val="129"/>
    </font>
    <font>
      <sz val="8.5"/>
      <color rgb="FF000000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2"/>
      <charset val="129"/>
    </font>
    <font>
      <b/>
      <sz val="8.5"/>
      <color rgb="FFFFFFFF"/>
      <name val="Noto Sans CJK SC"/>
      <family val="2"/>
    </font>
    <font>
      <b/>
      <sz val="8.5"/>
      <color rgb="FFFFFFFF"/>
      <name val="맑은 고딕"/>
      <family val="2"/>
      <charset val="129"/>
    </font>
    <font>
      <sz val="8.5"/>
      <color rgb="FF0B5394"/>
      <name val="맑은 고딕"/>
      <family val="2"/>
      <charset val="129"/>
    </font>
    <font>
      <b/>
      <sz val="8.5"/>
      <color rgb="FF000000"/>
      <name val="맑은 고딕"/>
      <family val="2"/>
      <charset val="129"/>
    </font>
    <font>
      <b/>
      <sz val="8.5"/>
      <color rgb="FF000000"/>
      <name val="Noto Sans CJK SC"/>
      <family val="2"/>
    </font>
    <font>
      <b/>
      <sz val="8.5"/>
      <color rgb="FF1E7B34"/>
      <name val="Noto Sans CJK SC"/>
      <family val="2"/>
    </font>
    <font>
      <sz val="8"/>
      <name val="나눔고딕OTF"/>
      <family val="3"/>
      <charset val="129"/>
    </font>
    <font>
      <b/>
      <sz val="24"/>
      <color rgb="FF000000"/>
      <name val="Pretendard Regular"/>
    </font>
    <font>
      <sz val="11"/>
      <color theme="1"/>
      <name val="Pretendard Regular"/>
    </font>
    <font>
      <sz val="8"/>
      <color rgb="FF595959"/>
      <name val="Pretendard Regular"/>
    </font>
    <font>
      <b/>
      <sz val="10"/>
      <color rgb="FF29ABE2"/>
      <name val="Pretendard Regular"/>
    </font>
    <font>
      <b/>
      <sz val="11"/>
      <color rgb="FF000000"/>
      <name val="Pretendard Regular"/>
    </font>
    <font>
      <b/>
      <sz val="9"/>
      <color rgb="FF000000"/>
      <name val="Pretendard Regular"/>
    </font>
    <font>
      <sz val="9"/>
      <color rgb="FF000000"/>
      <name val="Pretendard Regular"/>
    </font>
    <font>
      <b/>
      <sz val="9"/>
      <color rgb="FFFFFFFF"/>
      <name val="Pretendard Regular"/>
    </font>
    <font>
      <b/>
      <sz val="9.5"/>
      <color rgb="FF1F4E79"/>
      <name val="Pretendard Regular"/>
    </font>
    <font>
      <sz val="8.5"/>
      <color rgb="FF000000"/>
      <name val="Pretendard Regular"/>
    </font>
    <font>
      <b/>
      <sz val="10"/>
      <color rgb="FF000000"/>
      <name val="Pretendard Regular"/>
    </font>
    <font>
      <b/>
      <sz val="11"/>
      <color rgb="FFFFFFFF"/>
      <name val="Pretendard Regular"/>
    </font>
    <font>
      <sz val="8"/>
      <color rgb="FFFFFFFF"/>
      <name val="Pretendard Regular"/>
    </font>
    <font>
      <sz val="10"/>
      <color rgb="FF000000"/>
      <name val="Pretendard Regular"/>
    </font>
    <font>
      <sz val="11"/>
      <color theme="1"/>
      <name val="Malgun Gothic"/>
      <family val="2"/>
      <charset val="129"/>
    </font>
    <font>
      <b/>
      <sz val="8.5"/>
      <color rgb="FFFF0000"/>
      <name val="맑은 고딕"/>
      <family val="2"/>
      <charset val="129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6"/>
      <color theme="1"/>
      <name val="Pretendard Regular"/>
    </font>
    <font>
      <b/>
      <sz val="14"/>
      <color theme="1"/>
      <name val="Pretendard Regular"/>
    </font>
  </fonts>
  <fills count="8">
    <fill>
      <patternFill patternType="none"/>
    </fill>
    <fill>
      <patternFill patternType="gray125"/>
    </fill>
    <fill>
      <patternFill patternType="solid">
        <fgColor rgb="FF29ABE2"/>
        <bgColor rgb="FF1D9BD8"/>
      </patternFill>
    </fill>
    <fill>
      <patternFill patternType="solid">
        <fgColor rgb="FFD9EEF9"/>
        <bgColor rgb="FFDEEFF7"/>
      </patternFill>
    </fill>
    <fill>
      <patternFill patternType="solid">
        <fgColor rgb="FFE8F5FC"/>
        <bgColor rgb="FFF2F2F2"/>
      </patternFill>
    </fill>
    <fill>
      <patternFill patternType="solid">
        <fgColor rgb="FFDEEFF7"/>
        <bgColor rgb="FFD9EEF9"/>
      </patternFill>
    </fill>
    <fill>
      <patternFill patternType="solid">
        <fgColor rgb="FF1D9BD8"/>
        <bgColor rgb="FF29ABE2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7F7F7F"/>
      </left>
      <right style="thin">
        <color rgb="FFBFBFBF"/>
      </right>
      <top style="medium">
        <color rgb="FF7F7F7F"/>
      </top>
      <bottom style="medium">
        <color rgb="FF7F7F7F"/>
      </bottom>
      <diagonal/>
    </border>
    <border>
      <left style="thin">
        <color rgb="FFBFBFBF"/>
      </left>
      <right style="thin">
        <color rgb="FFBFBFBF"/>
      </right>
      <top style="medium">
        <color rgb="FF7F7F7F"/>
      </top>
      <bottom style="medium">
        <color rgb="FF7F7F7F"/>
      </bottom>
      <diagonal/>
    </border>
    <border>
      <left style="thin">
        <color rgb="FFBFBFB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7F7F"/>
      </left>
      <right style="thin">
        <color rgb="FFBFBFBF"/>
      </right>
      <top style="thin">
        <color rgb="FFBFBFBF"/>
      </top>
      <bottom style="medium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7F7F7F"/>
      </bottom>
      <diagonal/>
    </border>
    <border>
      <left style="thin">
        <color rgb="FFBFBFBF"/>
      </left>
      <right style="medium">
        <color rgb="FF7F7F7F"/>
      </right>
      <top style="thin">
        <color rgb="FFBFBFBF"/>
      </top>
      <bottom style="medium">
        <color rgb="FF7F7F7F"/>
      </bottom>
      <diagonal/>
    </border>
    <border>
      <left style="medium">
        <color rgb="FF7F7F7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medium">
        <color rgb="FF7F7F7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1" fontId="34" fillId="0" borderId="0" applyFont="0" applyFill="0" applyBorder="0" applyAlignment="0" applyProtection="0">
      <alignment vertical="center"/>
    </xf>
  </cellStyleXfs>
  <cellXfs count="80">
    <xf numFmtId="0" fontId="0" fillId="0" borderId="0" xfId="0"/>
    <xf numFmtId="3" fontId="7" fillId="0" borderId="6" xfId="0" applyNumberFormat="1" applyFont="1" applyBorder="1" applyAlignment="1">
      <alignment horizontal="right" vertical="center"/>
    </xf>
    <xf numFmtId="4" fontId="7" fillId="0" borderId="6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 wrapText="1"/>
    </xf>
    <xf numFmtId="176" fontId="7" fillId="0" borderId="6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left" vertical="center" wrapText="1"/>
    </xf>
    <xf numFmtId="3" fontId="7" fillId="0" borderId="8" xfId="0" applyNumberFormat="1" applyFont="1" applyBorder="1" applyAlignment="1">
      <alignment horizontal="right" vertical="center"/>
    </xf>
    <xf numFmtId="0" fontId="1" fillId="0" borderId="9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78" fontId="5" fillId="3" borderId="6" xfId="0" applyNumberFormat="1" applyFont="1" applyFill="1" applyBorder="1" applyAlignment="1">
      <alignment horizontal="center" vertical="center"/>
    </xf>
    <xf numFmtId="1" fontId="5" fillId="3" borderId="6" xfId="0" applyNumberFormat="1" applyFont="1" applyFill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  <xf numFmtId="2" fontId="13" fillId="3" borderId="6" xfId="0" applyNumberFormat="1" applyFont="1" applyFill="1" applyBorder="1" applyAlignment="1">
      <alignment horizontal="right" vertical="center"/>
    </xf>
    <xf numFmtId="4" fontId="7" fillId="0" borderId="8" xfId="0" applyNumberFormat="1" applyFont="1" applyBorder="1" applyAlignment="1">
      <alignment horizontal="right" vertical="center"/>
    </xf>
    <xf numFmtId="0" fontId="12" fillId="2" borderId="11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/>
    </xf>
    <xf numFmtId="0" fontId="16" fillId="0" borderId="9" xfId="0" applyFont="1" applyBorder="1" applyAlignment="1">
      <alignment horizontal="right" vertical="center"/>
    </xf>
    <xf numFmtId="0" fontId="15" fillId="0" borderId="7" xfId="0" applyFont="1" applyBorder="1" applyAlignment="1">
      <alignment horizontal="left" vertical="center"/>
    </xf>
    <xf numFmtId="3" fontId="7" fillId="0" borderId="9" xfId="0" applyNumberFormat="1" applyFont="1" applyBorder="1" applyAlignment="1">
      <alignment horizontal="right" vertical="center"/>
    </xf>
    <xf numFmtId="0" fontId="19" fillId="0" borderId="0" xfId="0" applyFont="1"/>
    <xf numFmtId="0" fontId="23" fillId="0" borderId="0" xfId="0" applyFont="1"/>
    <xf numFmtId="0" fontId="25" fillId="2" borderId="0" xfId="0" applyFont="1" applyFill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3" fontId="27" fillId="0" borderId="6" xfId="0" applyNumberFormat="1" applyFont="1" applyBorder="1" applyAlignment="1">
      <alignment horizontal="right" vertical="center"/>
    </xf>
    <xf numFmtId="0" fontId="27" fillId="0" borderId="6" xfId="0" applyFont="1" applyBorder="1" applyAlignment="1">
      <alignment horizontal="center" vertical="center"/>
    </xf>
    <xf numFmtId="0" fontId="20" fillId="0" borderId="5" xfId="0" applyFont="1" applyBorder="1" applyAlignment="1">
      <alignment horizontal="left" vertical="center" wrapText="1"/>
    </xf>
    <xf numFmtId="177" fontId="28" fillId="5" borderId="6" xfId="0" applyNumberFormat="1" applyFont="1" applyFill="1" applyBorder="1" applyAlignment="1">
      <alignment horizontal="right" vertical="center"/>
    </xf>
    <xf numFmtId="0" fontId="20" fillId="5" borderId="5" xfId="0" applyFont="1" applyFill="1" applyBorder="1" applyAlignment="1">
      <alignment horizontal="left" vertical="center" wrapText="1"/>
    </xf>
    <xf numFmtId="177" fontId="29" fillId="6" borderId="8" xfId="0" applyNumberFormat="1" applyFont="1" applyFill="1" applyBorder="1" applyAlignment="1">
      <alignment horizontal="right" vertical="center"/>
    </xf>
    <xf numFmtId="0" fontId="30" fillId="6" borderId="9" xfId="0" applyFont="1" applyFill="1" applyBorder="1" applyAlignment="1">
      <alignment horizontal="left" vertical="center" wrapText="1"/>
    </xf>
    <xf numFmtId="177" fontId="31" fillId="0" borderId="6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left" vertical="center"/>
    </xf>
    <xf numFmtId="14" fontId="5" fillId="3" borderId="6" xfId="0" applyNumberFormat="1" applyFont="1" applyFill="1" applyBorder="1" applyAlignment="1">
      <alignment horizontal="center" vertical="center"/>
    </xf>
    <xf numFmtId="0" fontId="32" fillId="0" borderId="0" xfId="0" applyFont="1"/>
    <xf numFmtId="179" fontId="5" fillId="3" borderId="6" xfId="0" applyNumberFormat="1" applyFont="1" applyFill="1" applyBorder="1" applyAlignment="1">
      <alignment horizontal="center" vertical="center"/>
    </xf>
    <xf numFmtId="3" fontId="0" fillId="0" borderId="0" xfId="0" applyNumberFormat="1"/>
    <xf numFmtId="180" fontId="13" fillId="3" borderId="8" xfId="0" applyNumberFormat="1" applyFont="1" applyFill="1" applyBorder="1" applyAlignment="1">
      <alignment horizontal="right" vertical="center"/>
    </xf>
    <xf numFmtId="4" fontId="27" fillId="0" borderId="6" xfId="0" applyNumberFormat="1" applyFont="1" applyBorder="1" applyAlignment="1">
      <alignment horizontal="right" vertical="center"/>
    </xf>
    <xf numFmtId="3" fontId="14" fillId="7" borderId="8" xfId="0" applyNumberFormat="1" applyFont="1" applyFill="1" applyBorder="1" applyAlignment="1">
      <alignment horizontal="right" vertical="center"/>
    </xf>
    <xf numFmtId="3" fontId="33" fillId="7" borderId="8" xfId="0" applyNumberFormat="1" applyFont="1" applyFill="1" applyBorder="1" applyAlignment="1">
      <alignment horizontal="right" vertical="center"/>
    </xf>
    <xf numFmtId="178" fontId="14" fillId="7" borderId="8" xfId="0" applyNumberFormat="1" applyFont="1" applyFill="1" applyBorder="1" applyAlignment="1">
      <alignment horizontal="right" vertical="center"/>
    </xf>
    <xf numFmtId="0" fontId="9" fillId="6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2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/>
    <xf numFmtId="0" fontId="20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24" fillId="3" borderId="0" xfId="0" applyFont="1" applyFill="1" applyAlignment="1">
      <alignment horizontal="left" vertical="center"/>
    </xf>
    <xf numFmtId="0" fontId="26" fillId="4" borderId="4" xfId="0" applyFont="1" applyFill="1" applyBorder="1" applyAlignment="1">
      <alignment horizontal="left" vertical="center"/>
    </xf>
    <xf numFmtId="0" fontId="19" fillId="4" borderId="5" xfId="0" applyFont="1" applyFill="1" applyBorder="1"/>
    <xf numFmtId="0" fontId="31" fillId="0" borderId="4" xfId="0" applyFont="1" applyBorder="1" applyAlignment="1">
      <alignment horizontal="center" vertical="center"/>
    </xf>
    <xf numFmtId="0" fontId="28" fillId="5" borderId="4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183" fontId="37" fillId="0" borderId="13" xfId="0" applyNumberFormat="1" applyFont="1" applyBorder="1" applyAlignment="1">
      <alignment horizontal="center" vertical="center"/>
    </xf>
    <xf numFmtId="0" fontId="36" fillId="0" borderId="13" xfId="0" applyFont="1" applyBorder="1" applyAlignment="1">
      <alignment vertical="center"/>
    </xf>
    <xf numFmtId="41" fontId="36" fillId="0" borderId="13" xfId="1" applyFont="1" applyBorder="1" applyAlignment="1">
      <alignment vertical="center"/>
    </xf>
    <xf numFmtId="0" fontId="36" fillId="0" borderId="13" xfId="0" applyFont="1" applyBorder="1" applyAlignment="1">
      <alignment horizontal="center" vertical="center"/>
    </xf>
    <xf numFmtId="177" fontId="36" fillId="0" borderId="13" xfId="0" applyNumberFormat="1" applyFont="1" applyBorder="1" applyAlignment="1">
      <alignment horizontal="center" vertical="center"/>
    </xf>
    <xf numFmtId="41" fontId="36" fillId="0" borderId="13" xfId="0" applyNumberFormat="1" applyFont="1" applyBorder="1" applyAlignment="1">
      <alignment vertical="center"/>
    </xf>
    <xf numFmtId="0" fontId="36" fillId="0" borderId="13" xfId="0" quotePrefix="1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41" fontId="36" fillId="7" borderId="13" xfId="0" applyNumberFormat="1" applyFont="1" applyFill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1D9BD8"/>
      <rgbColor rgb="FFBFBFBF"/>
      <rgbColor rgb="FF7F7F7F"/>
      <rgbColor rgb="FF9999FF"/>
      <rgbColor rgb="FF993366"/>
      <rgbColor rgb="FFF2F2F2"/>
      <rgbColor rgb="FFD9EEF9"/>
      <rgbColor rgb="FF660066"/>
      <rgbColor rgb="FFFF8080"/>
      <rgbColor rgb="FF0B539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FF7"/>
      <rgbColor rgb="FFE8F5FC"/>
      <rgbColor rgb="FFFFFF99"/>
      <rgbColor rgb="FF99CCFF"/>
      <rgbColor rgb="FFFF99CC"/>
      <rgbColor rgb="FFCC99FF"/>
      <rgbColor rgb="FFFFCC99"/>
      <rgbColor rgb="FF3366FF"/>
      <rgbColor rgb="FF29ABE2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800100</xdr:colOff>
      <xdr:row>0</xdr:row>
      <xdr:rowOff>0</xdr:rowOff>
    </xdr:from>
    <xdr:to>
      <xdr:col>9</xdr:col>
      <xdr:colOff>16380</xdr:colOff>
      <xdr:row>0</xdr:row>
      <xdr:rowOff>361440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136B0FD8-2195-1542-B0CF-A30D84EF839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477000" y="0"/>
          <a:ext cx="2492880" cy="361440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김도현" id="{0D255528-5ED3-154B-8FDC-AA1C75AC53EA}" userId="S::michaelkim@data-alliance.com::2b58db5b-fc3b-4da0-82de-41628c1d72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5" dT="2026-08-24T08:43:31.86" personId="{0D255528-5ED3-154B-8FDC-AA1C75AC53EA}" id="{06F8FC31-08B8-2746-9727-0E2CDFC1D364}">
    <text>3.3% 적용해서 강성규 상무 지급, 필요서류 확인, 평택이나 사업으로 진행하면 안됨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4"/>
  <sheetViews>
    <sheetView zoomScaleNormal="100" workbookViewId="0">
      <selection activeCell="H16" sqref="H16"/>
    </sheetView>
  </sheetViews>
  <sheetFormatPr baseColWidth="10" defaultColWidth="8.6640625" defaultRowHeight="15"/>
  <cols>
    <col min="1" max="1" width="12.83203125" customWidth="1"/>
    <col min="2" max="2" width="42" customWidth="1"/>
    <col min="3" max="3" width="7" customWidth="1"/>
    <col min="4" max="4" width="12.5" customWidth="1"/>
    <col min="5" max="5" width="9" customWidth="1"/>
    <col min="6" max="7" width="11" customWidth="1"/>
    <col min="8" max="8" width="17" customWidth="1"/>
    <col min="9" max="9" width="15" customWidth="1"/>
    <col min="11" max="12" width="11.33203125" bestFit="1" customWidth="1"/>
  </cols>
  <sheetData>
    <row r="1" spans="1:9" s="23" customFormat="1" ht="30" customHeight="1">
      <c r="A1" s="54" t="s">
        <v>0</v>
      </c>
      <c r="B1" s="54"/>
      <c r="C1" s="54"/>
      <c r="D1" s="54"/>
      <c r="E1" s="55"/>
      <c r="F1" s="55"/>
      <c r="G1" s="55"/>
      <c r="H1" s="55"/>
      <c r="I1" s="55"/>
    </row>
    <row r="2" spans="1:9" s="23" customFormat="1" ht="12.75" customHeight="1">
      <c r="A2" s="54"/>
      <c r="B2" s="54"/>
      <c r="C2" s="54"/>
      <c r="D2" s="54"/>
      <c r="E2" s="56" t="s">
        <v>42</v>
      </c>
      <c r="F2" s="56"/>
      <c r="G2" s="56"/>
      <c r="H2" s="56"/>
      <c r="I2" s="56"/>
    </row>
    <row r="3" spans="1:9" s="23" customFormat="1" ht="15" customHeight="1">
      <c r="A3" s="57" t="s">
        <v>1</v>
      </c>
      <c r="B3" s="57"/>
      <c r="C3" s="57"/>
      <c r="D3" s="57"/>
      <c r="E3" s="56" t="s">
        <v>43</v>
      </c>
      <c r="F3" s="56"/>
      <c r="G3" s="56"/>
      <c r="H3" s="56"/>
      <c r="I3" s="56"/>
    </row>
    <row r="4" spans="1:9" s="23" customFormat="1" ht="24" customHeight="1">
      <c r="A4" s="58" t="s">
        <v>44</v>
      </c>
      <c r="B4" s="58"/>
      <c r="C4" s="58"/>
      <c r="D4" s="58"/>
      <c r="H4" s="56" t="str">
        <f>"문서번호 : ES-"&amp;MID(B6,4,10)&amp;"-1"</f>
        <v>문서번호 : ES-2026-08-14-1</v>
      </c>
      <c r="I4" s="56"/>
    </row>
    <row r="5" spans="1:9" s="23" customFormat="1" ht="24" customHeight="1">
      <c r="A5" s="58" t="s">
        <v>45</v>
      </c>
      <c r="B5" s="58"/>
      <c r="C5" s="58"/>
      <c r="D5" s="58"/>
    </row>
    <row r="6" spans="1:9" s="23" customFormat="1" ht="24" customHeight="1">
      <c r="A6" s="24" t="s">
        <v>46</v>
      </c>
      <c r="B6" s="59" t="s">
        <v>76</v>
      </c>
      <c r="C6" s="59"/>
      <c r="D6" s="59"/>
      <c r="E6" s="25" t="s">
        <v>2</v>
      </c>
      <c r="F6" s="25"/>
      <c r="G6" s="59" t="s">
        <v>47</v>
      </c>
      <c r="H6" s="59"/>
      <c r="I6" s="59"/>
    </row>
    <row r="7" spans="1:9" s="23" customFormat="1" ht="24" customHeight="1">
      <c r="A7" s="24" t="s">
        <v>48</v>
      </c>
      <c r="B7" s="60" t="s">
        <v>77</v>
      </c>
      <c r="C7" s="60"/>
      <c r="D7" s="60"/>
      <c r="E7" s="25" t="s">
        <v>3</v>
      </c>
      <c r="F7" s="25"/>
      <c r="G7" s="59" t="s">
        <v>4</v>
      </c>
      <c r="H7" s="59"/>
      <c r="I7" s="59"/>
    </row>
    <row r="8" spans="1:9" s="23" customFormat="1" ht="24" customHeight="1">
      <c r="A8" s="24" t="s">
        <v>49</v>
      </c>
      <c r="B8" s="60" t="str">
        <f>":  一金 "&amp;IFERROR(NUMBERSTRING(H17,1)&amp;"원정 ","")&amp;"(₩"&amp;TEXT(H17,"#,##0")&amp;") / VAT 포함"</f>
        <v>:  一金 이천육백육십팔만육천원정 (₩26,686,000) / VAT 포함</v>
      </c>
      <c r="C8" s="60"/>
      <c r="D8" s="60"/>
      <c r="E8" s="25" t="s">
        <v>5</v>
      </c>
      <c r="F8" s="25"/>
      <c r="G8" s="59" t="s">
        <v>6</v>
      </c>
      <c r="H8" s="59"/>
      <c r="I8" s="59"/>
    </row>
    <row r="9" spans="1:9" s="23" customFormat="1" ht="24" customHeight="1">
      <c r="A9" s="24" t="s">
        <v>50</v>
      </c>
      <c r="B9" s="60" t="str">
        <f>":  "&amp;TEXT(DATEVALUE(MID(B6,4,10))+원가마진!H4,"yyyy-mm-dd")&amp;" (견적일로부터 "&amp;원가마진!H4&amp;"일)"</f>
        <v>:  2026-08-24 (견적일로부터 10일)</v>
      </c>
      <c r="C9" s="60"/>
      <c r="D9" s="60"/>
      <c r="E9" s="25" t="s">
        <v>7</v>
      </c>
      <c r="F9" s="25"/>
      <c r="G9" s="59" t="s">
        <v>8</v>
      </c>
      <c r="H9" s="59"/>
      <c r="I9" s="59"/>
    </row>
    <row r="10" spans="1:9" s="23" customFormat="1" ht="24" customHeight="1">
      <c r="A10" s="24" t="s">
        <v>51</v>
      </c>
      <c r="B10" s="61" t="s">
        <v>62</v>
      </c>
      <c r="C10" s="61"/>
      <c r="D10" s="61"/>
    </row>
    <row r="11" spans="1:9" s="23" customFormat="1" ht="15" customHeight="1" thickBot="1"/>
    <row r="12" spans="1:9" s="23" customFormat="1" ht="19.5" customHeight="1" thickBot="1">
      <c r="A12" s="26" t="s">
        <v>9</v>
      </c>
      <c r="B12" s="27" t="s">
        <v>10</v>
      </c>
      <c r="C12" s="27" t="s">
        <v>82</v>
      </c>
      <c r="D12" s="27" t="s">
        <v>11</v>
      </c>
      <c r="E12" s="27" t="s">
        <v>81</v>
      </c>
      <c r="F12" s="27" t="s">
        <v>80</v>
      </c>
      <c r="G12" s="27" t="s">
        <v>52</v>
      </c>
      <c r="H12" s="27" t="s">
        <v>53</v>
      </c>
      <c r="I12" s="28" t="s">
        <v>12</v>
      </c>
    </row>
    <row r="13" spans="1:9" s="23" customFormat="1" ht="16.5" customHeight="1">
      <c r="A13" s="62" t="s">
        <v>79</v>
      </c>
      <c r="B13" s="62"/>
      <c r="C13" s="62"/>
      <c r="D13" s="62"/>
      <c r="E13" s="62"/>
      <c r="F13" s="62"/>
      <c r="G13" s="62"/>
      <c r="H13" s="63"/>
      <c r="I13" s="63"/>
    </row>
    <row r="14" spans="1:9" s="23" customFormat="1" ht="95" customHeight="1">
      <c r="A14" s="29" t="s">
        <v>54</v>
      </c>
      <c r="B14" s="30" t="s">
        <v>78</v>
      </c>
      <c r="C14" s="31">
        <v>2</v>
      </c>
      <c r="D14" s="32" t="s">
        <v>83</v>
      </c>
      <c r="E14" s="45">
        <f>F14/F14</f>
        <v>1</v>
      </c>
      <c r="F14" s="31">
        <v>1752</v>
      </c>
      <c r="G14" s="31">
        <v>13850</v>
      </c>
      <c r="H14" s="31">
        <f>ROUND((F14*E14)*G14,0)</f>
        <v>24265200</v>
      </c>
      <c r="I14" s="33"/>
    </row>
    <row r="15" spans="1:9" s="23" customFormat="1" ht="16.5" customHeight="1">
      <c r="A15" s="64" t="s">
        <v>55</v>
      </c>
      <c r="B15" s="64"/>
      <c r="C15" s="64"/>
      <c r="D15" s="64"/>
      <c r="E15" s="64"/>
      <c r="F15" s="64"/>
      <c r="G15" s="64"/>
      <c r="H15" s="38">
        <f>SUM(H14:H14)</f>
        <v>24265200</v>
      </c>
      <c r="I15" s="33"/>
    </row>
    <row r="16" spans="1:9" s="23" customFormat="1" ht="16.5" customHeight="1">
      <c r="A16" s="65" t="s">
        <v>56</v>
      </c>
      <c r="B16" s="65"/>
      <c r="C16" s="65"/>
      <c r="D16" s="65"/>
      <c r="E16" s="65"/>
      <c r="F16" s="65"/>
      <c r="G16" s="65"/>
      <c r="H16" s="34">
        <f>ROUNDDOWN(H15,-4)</f>
        <v>24260000</v>
      </c>
      <c r="I16" s="35"/>
    </row>
    <row r="17" spans="1:9" s="23" customFormat="1" ht="21.75" customHeight="1">
      <c r="A17" s="66" t="s">
        <v>57</v>
      </c>
      <c r="B17" s="66"/>
      <c r="C17" s="66"/>
      <c r="D17" s="66"/>
      <c r="E17" s="66"/>
      <c r="F17" s="66"/>
      <c r="G17" s="66"/>
      <c r="H17" s="36">
        <f>ROUND(H16*1.1,0)</f>
        <v>26686000</v>
      </c>
      <c r="I17" s="37" t="str">
        <f>CONCATENATE("부가세 ",TEXT(H16*0.1,"#,##0"),"원 포함")</f>
        <v>부가세 2,426,000원 포함</v>
      </c>
    </row>
    <row r="18" spans="1:9" s="23" customFormat="1" ht="4.5" customHeight="1"/>
    <row r="19" spans="1:9" s="23" customFormat="1" ht="12.75" customHeight="1">
      <c r="A19" s="53" t="s">
        <v>63</v>
      </c>
      <c r="B19" s="53"/>
      <c r="C19" s="53"/>
      <c r="D19" s="53"/>
      <c r="E19" s="53"/>
      <c r="F19" s="53"/>
      <c r="G19" s="53"/>
      <c r="H19" s="53"/>
      <c r="I19" s="53"/>
    </row>
    <row r="20" spans="1:9" s="23" customFormat="1" ht="12.75" customHeight="1">
      <c r="A20" s="53" t="s">
        <v>58</v>
      </c>
      <c r="B20" s="53"/>
      <c r="C20" s="53"/>
      <c r="D20" s="53"/>
      <c r="E20" s="53"/>
      <c r="F20" s="53"/>
      <c r="G20" s="53"/>
      <c r="H20" s="53"/>
      <c r="I20" s="53"/>
    </row>
    <row r="21" spans="1:9" s="23" customFormat="1" ht="12.75" customHeight="1">
      <c r="A21" s="53" t="s">
        <v>59</v>
      </c>
      <c r="B21" s="53"/>
      <c r="C21" s="53"/>
      <c r="D21" s="53"/>
      <c r="E21" s="53"/>
      <c r="F21" s="53"/>
      <c r="G21" s="53"/>
      <c r="H21" s="53"/>
      <c r="I21" s="53"/>
    </row>
    <row r="22" spans="1:9" s="23" customFormat="1" ht="12.75" customHeight="1">
      <c r="A22" s="53" t="s">
        <v>60</v>
      </c>
      <c r="B22" s="53"/>
      <c r="C22" s="53"/>
      <c r="D22" s="53"/>
      <c r="E22" s="53"/>
      <c r="F22" s="53"/>
      <c r="G22" s="53"/>
      <c r="H22" s="53"/>
      <c r="I22" s="53"/>
    </row>
    <row r="23" spans="1:9" s="23" customFormat="1" ht="12.75" customHeight="1">
      <c r="A23" s="53" t="s">
        <v>61</v>
      </c>
      <c r="B23" s="53"/>
      <c r="C23" s="53"/>
      <c r="D23" s="53"/>
      <c r="E23" s="53"/>
      <c r="F23" s="53"/>
      <c r="G23" s="53"/>
      <c r="H23" s="53"/>
      <c r="I23" s="53"/>
    </row>
    <row r="24" spans="1:9" s="23" customFormat="1">
      <c r="A24" s="53" t="s">
        <v>64</v>
      </c>
      <c r="B24" s="53"/>
      <c r="C24" s="53"/>
      <c r="D24" s="53"/>
      <c r="E24" s="53"/>
      <c r="F24" s="53"/>
      <c r="G24" s="53"/>
      <c r="H24" s="53"/>
      <c r="I24" s="53"/>
    </row>
  </sheetData>
  <mergeCells count="28">
    <mergeCell ref="A16:G16"/>
    <mergeCell ref="A23:I23"/>
    <mergeCell ref="A17:G17"/>
    <mergeCell ref="A19:I19"/>
    <mergeCell ref="A20:I20"/>
    <mergeCell ref="A21:I21"/>
    <mergeCell ref="A22:I22"/>
    <mergeCell ref="G9:I9"/>
    <mergeCell ref="B10:D10"/>
    <mergeCell ref="A13:G13"/>
    <mergeCell ref="H13:I13"/>
    <mergeCell ref="A15:G15"/>
    <mergeCell ref="A24:I24"/>
    <mergeCell ref="A1:D2"/>
    <mergeCell ref="E1:I1"/>
    <mergeCell ref="E2:I2"/>
    <mergeCell ref="A3:D3"/>
    <mergeCell ref="E3:I3"/>
    <mergeCell ref="A4:D4"/>
    <mergeCell ref="H4:I4"/>
    <mergeCell ref="A5:D5"/>
    <mergeCell ref="B6:D6"/>
    <mergeCell ref="G6:I6"/>
    <mergeCell ref="B7:D7"/>
    <mergeCell ref="G7:I7"/>
    <mergeCell ref="B8:D8"/>
    <mergeCell ref="G8:I8"/>
    <mergeCell ref="B9:D9"/>
  </mergeCells>
  <phoneticPr fontId="17" type="noConversion"/>
  <pageMargins left="0.75" right="0.75" top="1" bottom="1" header="0.511811023622047" footer="0.511811023622047"/>
  <pageSetup paperSize="9" scale="58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2"/>
  <sheetViews>
    <sheetView zoomScaleNormal="100" workbookViewId="0">
      <selection activeCell="G19" sqref="G19"/>
    </sheetView>
  </sheetViews>
  <sheetFormatPr baseColWidth="10" defaultColWidth="8.6640625" defaultRowHeight="15"/>
  <cols>
    <col min="1" max="1" width="24" customWidth="1"/>
    <col min="2" max="2" width="14" customWidth="1"/>
    <col min="3" max="4" width="12" customWidth="1"/>
    <col min="5" max="8" width="13" customWidth="1"/>
    <col min="9" max="9" width="12" customWidth="1"/>
    <col min="10" max="10" width="34" customWidth="1"/>
  </cols>
  <sheetData>
    <row r="1" spans="1:10" ht="21" customHeight="1">
      <c r="A1" s="49" t="s">
        <v>71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3.75" customHeight="1"/>
    <row r="3" spans="1:10">
      <c r="A3" s="50"/>
      <c r="B3" s="50"/>
      <c r="C3" s="50"/>
      <c r="D3" s="50"/>
      <c r="E3" s="50"/>
      <c r="F3" s="50"/>
      <c r="G3" s="50"/>
      <c r="H3" s="50"/>
      <c r="I3" s="50"/>
      <c r="J3" s="50"/>
    </row>
    <row r="4" spans="1:10" ht="15.75" customHeight="1">
      <c r="A4" s="8" t="s">
        <v>13</v>
      </c>
      <c r="B4" s="42">
        <v>0.42858000000000002</v>
      </c>
      <c r="C4" s="8" t="s">
        <v>66</v>
      </c>
      <c r="D4" s="9">
        <v>0.4</v>
      </c>
      <c r="G4" s="8" t="s">
        <v>14</v>
      </c>
      <c r="H4" s="10">
        <v>10</v>
      </c>
      <c r="I4" s="8" t="s">
        <v>70</v>
      </c>
      <c r="J4">
        <v>1450</v>
      </c>
    </row>
    <row r="5" spans="1:10" ht="15.75" customHeight="1">
      <c r="A5" s="8" t="s">
        <v>15</v>
      </c>
      <c r="B5" s="10">
        <v>61</v>
      </c>
      <c r="C5" s="8" t="s">
        <v>16</v>
      </c>
      <c r="D5" s="11">
        <v>1752</v>
      </c>
      <c r="E5" s="8" t="s">
        <v>17</v>
      </c>
      <c r="F5" s="40">
        <v>46266</v>
      </c>
      <c r="G5" s="8" t="s">
        <v>18</v>
      </c>
      <c r="H5" s="40">
        <v>46339</v>
      </c>
    </row>
    <row r="6" spans="1:10" ht="3.75" customHeight="1"/>
    <row r="7" spans="1:10">
      <c r="A7" s="51"/>
      <c r="B7" s="51"/>
      <c r="C7" s="51"/>
      <c r="D7" s="51"/>
      <c r="E7" s="51"/>
      <c r="F7" s="51"/>
      <c r="G7" s="51"/>
      <c r="H7" s="51"/>
      <c r="I7" s="51"/>
      <c r="J7" s="51"/>
    </row>
    <row r="8" spans="1:10" ht="26">
      <c r="A8" s="12" t="s">
        <v>19</v>
      </c>
      <c r="B8" s="13" t="s">
        <v>20</v>
      </c>
      <c r="C8" s="13" t="s">
        <v>21</v>
      </c>
      <c r="D8" s="13" t="s">
        <v>22</v>
      </c>
      <c r="E8" s="13" t="s">
        <v>23</v>
      </c>
      <c r="F8" s="13" t="s">
        <v>67</v>
      </c>
      <c r="G8" s="13" t="s">
        <v>24</v>
      </c>
      <c r="H8" s="13" t="s">
        <v>25</v>
      </c>
      <c r="I8" s="13" t="s">
        <v>26</v>
      </c>
      <c r="J8" s="14" t="s">
        <v>27</v>
      </c>
    </row>
    <row r="9" spans="1:10" ht="15.75" customHeight="1">
      <c r="A9" s="15" t="s">
        <v>72</v>
      </c>
      <c r="B9" s="16">
        <v>0</v>
      </c>
      <c r="C9" s="1">
        <v>1</v>
      </c>
      <c r="D9" s="1">
        <v>1460</v>
      </c>
      <c r="E9" s="1">
        <f>ROUND(B9*C9*D9,0)</f>
        <v>0</v>
      </c>
      <c r="F9" s="1">
        <f>ROUND(E9*(1-$D$4),0)</f>
        <v>0</v>
      </c>
      <c r="G9" s="4">
        <f>ROUND(B9*(1-$D$4)*(1+$B$4),4)</f>
        <v>0</v>
      </c>
      <c r="H9" s="1">
        <f>ROUND(C9*D9*G9,0)</f>
        <v>0</v>
      </c>
      <c r="I9" s="1">
        <f>H9-F9</f>
        <v>0</v>
      </c>
      <c r="J9" s="3"/>
    </row>
    <row r="10" spans="1:10" ht="15.75" customHeight="1">
      <c r="A10" s="15" t="s">
        <v>73</v>
      </c>
      <c r="B10" s="16">
        <v>0</v>
      </c>
      <c r="C10" s="1">
        <v>1</v>
      </c>
      <c r="D10" s="1">
        <v>1460</v>
      </c>
      <c r="E10" s="1">
        <f>ROUND(B10*C10*D10,0)</f>
        <v>0</v>
      </c>
      <c r="F10" s="1">
        <f>ROUND(E10*(1-$D$4),0)</f>
        <v>0</v>
      </c>
      <c r="G10" s="2">
        <f>ROUND(B10*(1-$D$4)*(1+$B$4),2)</f>
        <v>0</v>
      </c>
      <c r="H10" s="1">
        <f>ROUND(C10*D10*G10,0)</f>
        <v>0</v>
      </c>
      <c r="I10" s="1">
        <f>H10-F10</f>
        <v>0</v>
      </c>
      <c r="J10" s="5"/>
    </row>
    <row r="11" spans="1:10" ht="15.75" customHeight="1" thickBot="1">
      <c r="A11" s="39" t="s">
        <v>65</v>
      </c>
      <c r="B11" s="44">
        <v>6786</v>
      </c>
      <c r="C11" s="6">
        <v>1</v>
      </c>
      <c r="D11" s="6">
        <f>D5</f>
        <v>1752</v>
      </c>
      <c r="E11" s="6">
        <f>ROUND(B11*C11*D11,0)</f>
        <v>11889072</v>
      </c>
      <c r="F11" s="6">
        <f>ROUND(E11*(1+$D$4),0)</f>
        <v>16644701</v>
      </c>
      <c r="G11" s="17">
        <f>ROUND(B11*(1+$D$4)*(1+$B$4),2)</f>
        <v>13572.08</v>
      </c>
      <c r="H11" s="6">
        <f>ROUND(C11*D11*G11,0)</f>
        <v>23778284</v>
      </c>
      <c r="I11" s="6">
        <f>H11-F11</f>
        <v>7133583</v>
      </c>
      <c r="J11" s="7"/>
    </row>
    <row r="12" spans="1:10" ht="3.75" customHeight="1"/>
    <row r="13" spans="1:10">
      <c r="A13" s="51"/>
      <c r="B13" s="51"/>
      <c r="C13" s="51"/>
      <c r="D13" s="51"/>
      <c r="E13" s="51"/>
      <c r="F13" s="51"/>
      <c r="G13" s="51"/>
      <c r="H13" s="51"/>
      <c r="I13" s="51"/>
      <c r="J13" s="51"/>
    </row>
    <row r="14" spans="1:10" ht="35" customHeight="1">
      <c r="A14" s="12" t="s">
        <v>28</v>
      </c>
      <c r="B14" s="13" t="s">
        <v>29</v>
      </c>
      <c r="C14" s="13" t="str">
        <f>"파트너 제공 ("&amp;TEXT($D$4,"0%")&amp;")"</f>
        <v>파트너 제공 (40%)</v>
      </c>
      <c r="D14" s="13" t="s">
        <v>30</v>
      </c>
      <c r="E14" s="13" t="s">
        <v>31</v>
      </c>
      <c r="F14" s="13" t="s">
        <v>32</v>
      </c>
      <c r="G14" s="18" t="s">
        <v>68</v>
      </c>
      <c r="H14" s="14" t="s">
        <v>33</v>
      </c>
    </row>
    <row r="15" spans="1:10" ht="41" customHeight="1" thickBot="1">
      <c r="A15" s="19" t="s">
        <v>74</v>
      </c>
      <c r="B15" s="6">
        <f>E9+E10+E11</f>
        <v>11889072</v>
      </c>
      <c r="C15" s="47">
        <f>ROUNDDOWN(B15*$D$4,0)</f>
        <v>4755628</v>
      </c>
      <c r="D15" s="6">
        <f>B15+C15</f>
        <v>16644700</v>
      </c>
      <c r="E15" s="6">
        <f>ROUNDDOWN(D15*0.1,0)</f>
        <v>1664470</v>
      </c>
      <c r="F15" s="6">
        <f>D15+E15</f>
        <v>18309170</v>
      </c>
      <c r="G15" s="6">
        <v>12051936</v>
      </c>
      <c r="H15" s="20" t="str">
        <f>IF(F15=G15,"✓ 일치","✗ 확인")</f>
        <v>✗ 확인</v>
      </c>
      <c r="J15" s="41" t="s">
        <v>69</v>
      </c>
    </row>
    <row r="16" spans="1:10" ht="3.75" customHeight="1"/>
    <row r="17" spans="1:10">
      <c r="A17" s="51" t="s">
        <v>34</v>
      </c>
      <c r="B17" s="51"/>
      <c r="C17" s="51"/>
      <c r="D17" s="51"/>
      <c r="E17" s="51"/>
      <c r="F17" s="51"/>
      <c r="G17" s="51"/>
      <c r="H17" s="51"/>
      <c r="I17" s="51"/>
      <c r="J17" s="51"/>
    </row>
    <row r="18" spans="1:10" ht="29" customHeight="1">
      <c r="A18" s="12" t="s">
        <v>35</v>
      </c>
      <c r="B18" s="13" t="s">
        <v>36</v>
      </c>
      <c r="C18" s="13" t="s">
        <v>37</v>
      </c>
      <c r="D18" s="13" t="s">
        <v>38</v>
      </c>
      <c r="E18" s="13" t="s">
        <v>39</v>
      </c>
      <c r="F18" s="13" t="s">
        <v>40</v>
      </c>
      <c r="G18" s="14" t="s">
        <v>41</v>
      </c>
    </row>
    <row r="19" spans="1:10" ht="37" customHeight="1" thickBot="1">
      <c r="A19" s="21" t="s">
        <v>75</v>
      </c>
      <c r="B19" s="6">
        <f>D15</f>
        <v>16644700</v>
      </c>
      <c r="C19" s="6">
        <f>견적서!H15</f>
        <v>24265200</v>
      </c>
      <c r="D19" s="6">
        <f>견적서!H16</f>
        <v>24260000</v>
      </c>
      <c r="E19" s="46">
        <f>D19-B19</f>
        <v>7615300</v>
      </c>
      <c r="F19" s="48">
        <f>IF(B19=0,"",D19/B19-1)</f>
        <v>0.45752101269473155</v>
      </c>
      <c r="G19" s="22">
        <f>견적서!H17</f>
        <v>26686000</v>
      </c>
    </row>
    <row r="21" spans="1:10" ht="12.75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</row>
    <row r="22" spans="1:10" ht="12.7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</row>
    <row r="23" spans="1:10" ht="12.7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4" spans="1:10" ht="12.7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</row>
    <row r="25" spans="1:10" ht="12.7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</row>
    <row r="26" spans="1:10" ht="12.7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</row>
    <row r="27" spans="1:10" ht="12.7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</row>
    <row r="29" spans="1:10">
      <c r="J29" s="43"/>
    </row>
    <row r="32" spans="1:10">
      <c r="G32" s="43"/>
    </row>
  </sheetData>
  <mergeCells count="12">
    <mergeCell ref="A26:J26"/>
    <mergeCell ref="A27:J27"/>
    <mergeCell ref="A21:J21"/>
    <mergeCell ref="A22:J22"/>
    <mergeCell ref="A23:J23"/>
    <mergeCell ref="A24:J24"/>
    <mergeCell ref="A25:J25"/>
    <mergeCell ref="A1:J1"/>
    <mergeCell ref="A3:J3"/>
    <mergeCell ref="A7:J7"/>
    <mergeCell ref="A13:J13"/>
    <mergeCell ref="A17:J17"/>
  </mergeCells>
  <phoneticPr fontId="17" type="noConversion"/>
  <pageMargins left="0.75" right="0.75" top="1" bottom="1" header="0.511811023622047" footer="0.511811023622047"/>
  <pageSetup paperSize="9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36505-AED5-F84D-93AA-4CCC77560DAF}">
  <dimension ref="B3:G8"/>
  <sheetViews>
    <sheetView tabSelected="1" workbookViewId="0">
      <selection activeCell="F14" sqref="F14"/>
    </sheetView>
  </sheetViews>
  <sheetFormatPr baseColWidth="10" defaultRowHeight="15"/>
  <cols>
    <col min="2" max="2" width="13.33203125" bestFit="1" customWidth="1"/>
    <col min="3" max="3" width="19" bestFit="1" customWidth="1"/>
    <col min="4" max="4" width="22" bestFit="1" customWidth="1"/>
    <col min="5" max="5" width="17.6640625" customWidth="1"/>
    <col min="6" max="6" width="21.5" bestFit="1" customWidth="1"/>
    <col min="7" max="7" width="37.5" bestFit="1" customWidth="1"/>
  </cols>
  <sheetData>
    <row r="3" spans="2:7" ht="25" customHeight="1">
      <c r="B3" s="67"/>
      <c r="C3" s="68" t="s">
        <v>86</v>
      </c>
      <c r="D3" s="68" t="s">
        <v>85</v>
      </c>
      <c r="E3" s="68" t="s">
        <v>86</v>
      </c>
      <c r="F3" s="69" t="s">
        <v>96</v>
      </c>
      <c r="G3" s="68" t="s">
        <v>85</v>
      </c>
    </row>
    <row r="4" spans="2:7" ht="42" customHeight="1">
      <c r="B4" s="70" t="s">
        <v>84</v>
      </c>
      <c r="C4" s="71">
        <f>견적서!H16</f>
        <v>24260000</v>
      </c>
      <c r="D4" s="72" t="s">
        <v>94</v>
      </c>
      <c r="E4" s="71">
        <f>견적서!H16</f>
        <v>24260000</v>
      </c>
      <c r="F4" s="76"/>
      <c r="G4" s="76"/>
    </row>
    <row r="5" spans="2:7" ht="42" customHeight="1">
      <c r="B5" s="70" t="s">
        <v>89</v>
      </c>
      <c r="C5" s="71">
        <v>8199.36</v>
      </c>
      <c r="D5" s="72" t="s">
        <v>87</v>
      </c>
      <c r="E5" s="71">
        <v>8199.36</v>
      </c>
      <c r="F5" s="77"/>
      <c r="G5" s="78"/>
    </row>
    <row r="6" spans="2:7" ht="42" customHeight="1">
      <c r="B6" s="70" t="s">
        <v>88</v>
      </c>
      <c r="C6" s="71">
        <f>C5*D6</f>
        <v>11889072</v>
      </c>
      <c r="D6" s="73">
        <v>1450</v>
      </c>
      <c r="E6" s="71">
        <f>E5*F6</f>
        <v>11325775.968</v>
      </c>
      <c r="F6" s="73">
        <v>1381.3</v>
      </c>
      <c r="G6" s="78"/>
    </row>
    <row r="7" spans="2:7" ht="42" customHeight="1">
      <c r="B7" s="70" t="s">
        <v>90</v>
      </c>
      <c r="C7" s="71">
        <v>4755628</v>
      </c>
      <c r="D7" s="72" t="s">
        <v>91</v>
      </c>
      <c r="E7" s="71">
        <v>4750000</v>
      </c>
      <c r="F7" s="76"/>
      <c r="G7" s="77"/>
    </row>
    <row r="8" spans="2:7" ht="42" customHeight="1">
      <c r="B8" s="70" t="s">
        <v>92</v>
      </c>
      <c r="C8" s="74">
        <f>C4-C6-C7</f>
        <v>7615300</v>
      </c>
      <c r="D8" s="75" t="s">
        <v>93</v>
      </c>
      <c r="E8" s="79">
        <f>E4-E6-E7</f>
        <v>8184224.0319999997</v>
      </c>
      <c r="F8" s="77"/>
      <c r="G8" s="72" t="s">
        <v>95</v>
      </c>
    </row>
  </sheetData>
  <mergeCells count="3">
    <mergeCell ref="F7:F8"/>
    <mergeCell ref="F4:F5"/>
    <mergeCell ref="G4:G7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견적서</vt:lpstr>
      <vt:lpstr>원가마진</vt:lpstr>
      <vt:lpstr>쉬운표</vt:lpstr>
      <vt:lpstr>견적서!Print_Area</vt:lpstr>
      <vt:lpstr>원가마진!Print_Area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JH솔루션 B200 GPU 클라우드 견적서</dc:title>
  <dc:subject/>
  <dc:creator>데이터얼라이언스 주식회사</dc:creator>
  <dc:description/>
  <cp:lastModifiedBy>김도현</cp:lastModifiedBy>
  <cp:revision>0</cp:revision>
  <cp:lastPrinted>2026-08-14T02:12:08Z</cp:lastPrinted>
  <dcterms:created xsi:type="dcterms:W3CDTF">2026-07-28T03:54:59Z</dcterms:created>
  <dcterms:modified xsi:type="dcterms:W3CDTF">2026-08-27T05:59:54Z</dcterms:modified>
  <dc:language>en-US</dc:language>
</cp:coreProperties>
</file>