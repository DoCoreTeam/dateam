
<file path=[Content_Types].xml><?xml version="1.0" encoding="utf-8"?>
<Types xmlns="http://schemas.openxmlformats.org/package/2006/content-types">
  <Default Extension="ai" ContentType="image/ai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65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"/>
    </mc:Choice>
  </mc:AlternateContent>
  <x:bookViews>
    <x:workbookView xWindow="0" yWindow="0" windowWidth="0" windowHeight="0" tabRatio="500"/>
  </x:bookViews>
  <x:sheets>
    <x:sheet name="시간당" sheetId="1" r:id="rId4"/>
    <x:sheet name="월 720시간기준" sheetId="2" state="hidden" r:id="rId5"/>
    <x:sheet name="Sheet1" sheetId="3" r:id="rId6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/>
  </x:authors>
  <x:commentList>
    <x:comment ref="D101:D101" authorId="0">
      <x:text/>
    </x:comment>
    <x:comment ref="J128:J128" authorId="0">
      <x:text/>
    </x:comment>
    <x:comment ref="E137:E137" authorId="0">
      <x:text/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<x:sst xmlns:r="http://schemas.openxmlformats.org/officeDocument/2006/relationships" xmlns:c="http://schemas.openxmlformats.org/drawingml/2006/chart" xmlns:x="http://schemas.openxmlformats.org/spreadsheetml/2006/main" count="684" uniqueCount="84">
  <x:si>
    <x:t>010-2934-2366</x:t>
  </x:si>
  <x:si>
    <x:t>massedcompute</x:t>
  </x:si>
  <x:si>
    <x:t>H100 80GB</x:t>
  </x:si>
  <x:si>
    <x:t>Reese Osborn</x:t>
  </x:si>
  <x:si>
    <x:t>세일즈 리드(팀장)</x:t>
  </x:si>
  <x:si>
    <x:t>on-demand</x:t>
  </x:si>
  <x:si>
    <x:t>B200 192GB</x:t>
  </x:si>
  <x:si>
    <x:t>dj.shin@nhn.com</x:t>
  </x:si>
  <x:si>
    <x:t>010-2053-5716</x:t>
  </x:si>
  <x:si>
    <x:t>기업사업부/ 팀장</x:t>
  </x:si>
  <x:si>
    <x:t>GPU모델 x1</x:t>
  </x:si>
  <x:si>
    <x:t>H200 141GB</x:t>
  </x:si>
  <x:si>
    <x:t>GPU모델 x8</x:t>
  </x:si>
  <x:si>
    <x:t>엔터프라이즈사업팀/ 매니저</x:t>
  </x:si>
  <x:si>
    <x:t>tony.fung</x:t>
  </x:si>
  <x:si>
    <x:t>Crusoe.AI</x:t>
  </x:si>
  <x:si>
    <x:t>Jerome Agnola</x:t>
  </x:si>
  <x:si>
    <x:t>KAKAO클라우드</x:t>
  </x:si>
  <x:si>
    <x:t>A100 80GB</x:t>
  </x:si>
  <x:si>
    <x:t>B300 288GB</x:t>
  </x:si>
  <x:si>
    <x:t>CSP 각사 담당자 정보</x:t>
  </x:si>
  <x:si>
    <x:t xml:space="preserve">010-2551-8418 </x:t>
  </x:si>
  <x:si>
    <x:t>konst tech</x:t>
  </x:si>
  <x:si>
    <x:t>게임비지니스 / 이사</x:t>
  </x:si>
  <x:si>
    <x:t xml:space="preserve">H200 141GB </x:t>
  </x:si>
  <x:si>
    <x:t>highreso</x:t>
  </x:si>
  <x:si>
    <x:t xml:space="preserve"> Vectorlay</x:t>
  </x:si>
  <x:si>
    <x:t>미국(납기 90일)</x:t>
  </x:si>
  <x:si>
    <x:t>유럽. 및 멀티</x:t>
  </x:si>
  <x:si>
    <x:t>H200 141GB.</x:t>
  </x:si>
  <x:si>
    <x:t>LeNTM23@fpt.com</x:t>
  </x:si>
  <x:si>
    <x:t xml:space="preserve">H100 80GB </x:t>
  </x:si>
  <x:si>
    <x:t>- 2천 H200 UNIT, Europe 7월 중 오퍼 가능
- 2천 UNIT B200s 8월 중 오퍼가능
- 35,000 UNIT GB300 4분기, multiple locations
- 25,000 UNIT Vera Rubins 25년 1분기, multiple locations</x:t>
  </x:si>
  <x:si>
    <x:t>jaekwang.choi@navercorp.com</x:t>
  </x:si>
  <x:si>
    <x:t xml:space="preserve">일본. H200
5월 14노드
(112UNIT)
8월 10노드
</x:t>
  </x:si>
  <x:si>
    <x:t>Reserved 12 month</x:t>
  </x:si>
  <x:si>
    <x:t>Reserved 6 month</x:t>
  </x:si>
  <x:si>
    <x:t>타켓금액
GPU 1장
월 금액</x:t>
  </x:si>
  <x:si>
    <x:t>타켓금액
서버1대
(8장)
시간당금액</x:t>
  </x:si>
  <x:si>
    <x:t>타켓금액
서버1대
(8장)
월 금액</x:t>
  </x:si>
  <x:si>
    <x:t>Reserved 1 month</x:t>
  </x:si>
  <x:si>
    <x:t>reese@massedcompute.com</x:t>
  </x:si>
  <x:si>
    <x:t>타켓금액
GPU 1장
시간당금액</x:t>
  </x:si>
  <x:si>
    <x:t>jagnola@crusoe.ai</x:t>
  </x:si>
  <x:si>
    <x:t>tony.fung@konsttech.ai</x:t>
  </x:si>
  <x:si>
    <x:t>felix.jk@kakaocloud.com</x:t>
  </x:si>
  <x:si>
    <x:t>Le Nguyen Thi Minh</x:t>
  </x:si>
  <x:si>
    <x:t>대만</x:t>
  </x:si>
  <x:si>
    <x:t>세일즈 매니저</x:t>
  </x:si>
  <x:si>
    <x:t>수량</x:t>
  </x:si>
  <x:si>
    <x:t>카카오클라우드</x:t>
  </x:si>
  <x:si>
    <x:t>네이버클라우드</x:t>
  </x:si>
  <x:si>
    <x:t>확인중</x:t>
  </x:si>
  <x:si>
    <x:t>연락처</x:t>
  </x:si>
  <x:si>
    <x:t>담당자명</x:t>
  </x:si>
  <x:si>
    <x:t>NHN클라우드</x:t>
  </x:si>
  <x:si>
    <x:t>고객사명</x:t>
  </x:si>
  <x:si>
    <x:t>베슬AI</x:t>
  </x:si>
  <x:si>
    <x:t>KT클라우드</x:t>
  </x:si>
  <x:si>
    <x:t>FPT</x:t>
  </x:si>
  <x:si>
    <x:t>최재광</x:t>
  </x:si>
  <x:si>
    <x:t>신동준</x:t>
  </x:si>
  <x:si>
    <x:t>Tier1</x:t>
  </x:si>
  <x:si>
    <x:t>이메일</x:t>
  </x:si>
  <x:si>
    <x:t>환율적용시</x:t>
  </x:si>
  <x:si>
    <x:t>김준교</x:t>
  </x:si>
  <x:si>
    <x:t>V100</x:t>
  </x:si>
  <x:si>
    <x:t>앨리스클라우드</x:t>
  </x:si>
  <x:si>
    <x:t>부서 / 직급</x:t>
  </x:si>
  <x:si>
    <x:t>서버스펙</x:t>
  </x:si>
  <x:si>
    <x:t>X</x:t>
  </x:si>
  <x:si>
    <x:t>소량 확인중</x:t>
  </x:si>
  <x:si>
    <x:t>타겟금액</x:t>
  </x:si>
  <x:si>
    <x:t>매니저</x:t>
  </x:si>
  <x:si>
    <x:t>리전</x:t>
  </x:si>
  <x:si>
    <x:t>미국</x:t>
  </x:si>
  <x:si>
    <x:t>김동훈</x:t>
  </x:si>
  <x:si>
    <x:t>T4</x:t>
  </x:si>
  <x:si>
    <x:t>Morgen</x:t>
  </x:si>
  <x:si>
    <x:t>유럽</x:t>
  </x:si>
  <x:si>
    <x:t>멀티 리젼</x:t>
  </x:si>
  <x:si>
    <x:t>일본</x:t>
  </x:si>
  <x:si>
    <x:t xml:space="preserve">미국. </x:t>
  </x:si>
  <x:si>
    <x:t>Custom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</x:si>
</x:sst>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_-[$$-409]* #,##0.00_ ;_-[$$-409]* \-#,##0.00\ ;_-[$$-409]* &quot;-&quot;??_ ;_-@_ "/>
    <x:numFmt numFmtId="165" formatCode="_-[$₩-412]* #,##0.00_-;\-[$₩-412]* #,##0.00_-;_-[$₩-412]* &quot;-&quot;??_-;_-@"/>
    <x:numFmt numFmtId="166" formatCode="[$$]#,##0.00_);[Red]\([$$]#,##0.00\)"/>
    <x:numFmt numFmtId="167" formatCode="_-[$$-409]* #,##0_ ;_-[$$-409]* \-#,##0\ ;_-[$$-409]* &quot;-&quot;??_ ;_-@_ "/>
  </x:numFmts>
  <x:fonts count="1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함초롬돋움"/>
      <x:sz val="11"/>
      <x:color rgb="ff000000"/>
    </x:font>
    <x:font>
      <x:name val="Malgun Gothic"/>
      <x:sz val="11"/>
      <x:color rgb="ff000000"/>
    </x:font>
    <x:font>
      <x:name val="Malgun Gothic"/>
      <x:sz val="11"/>
      <x:color rgb="ffff0000"/>
    </x:font>
    <x:font>
      <x:name val="Malgun Gothic"/>
      <x:sz val="11"/>
      <x:color rgb="ff1f1f1f"/>
    </x:fo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00"/>
          <x:u/>
          <hs:underlineShape val="solid"/>
          <hs:underlineType val="1"/>
          <hs:underlineColor rgb="ff000000"/>
        </x:font>
      </mc:Choice>
      <mc:Fallback>
        <x:font>
          <x:name val="Malgun Gothic"/>
          <x:sz val="11"/>
          <x:color rgb="ff00000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ptos Narrow"/>
          <x:sz val="11"/>
          <x:color rgb="ff242424"/>
          <hs:size val="100"/>
          <hs:ratio val="100"/>
          <hs:spacing val="0"/>
          <hs:offset val="0"/>
        </x:font>
      </mc:Choice>
      <mc:Fallback>
        <x:font>
          <x:name val="Aptos Narrow"/>
          <x:sz val="11"/>
          <x:color rgb="ff242424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36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36"/>
          <x:color rgb="ff000000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c000"/>
        <x:bgColor rgb="ffffc000"/>
      </x:patternFill>
    </x:fill>
    <x:fill>
      <x:patternFill patternType="solid">
        <x:fgColor rgb="ffffff00"/>
        <x:bgColor rgb="ffffff00"/>
      </x:patternFill>
    </x:fill>
  </x:fills>
  <x:borders count="16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indexed="64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 style="thin">
        <x:color rgb="ff000000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>
        <x:color indexed="64"/>
      </x:bottom>
    </x:border>
    <x:border>
      <x:left>
        <x:color indexed="64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indexed="64"/>
      </x:left>
      <x:right>
        <x:color indexed="64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indexed="64"/>
      </x:right>
      <x:top style="thin">
        <x:color rgb="ff000000"/>
      </x:top>
      <x:bottom>
        <x:color indexed="64"/>
      </x:bottom>
    </x:border>
    <x:border>
      <x:left>
        <x:color indexed="64"/>
      </x:left>
      <x:right>
        <x:color indexed="64"/>
      </x:right>
      <x:top style="thin">
        <x:color rgb="ff000000"/>
      </x:top>
      <x:bottom>
        <x:color indexed="64"/>
      </x:bottom>
    </x:border>
    <x:border>
      <x:left>
        <x:color indexed="64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thin">
        <x:color rgb="ff000000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>
        <x:color indexed="64"/>
      </x:right>
      <x:top>
        <x:color indexed="64"/>
      </x:top>
      <x:bottom style="thin">
        <x:color rgb="ff000000"/>
      </x:bottom>
    </x:border>
    <x:border>
      <x:left>
        <x:color indexed="64"/>
      </x:left>
      <x:right>
        <x:color indexed="64"/>
      </x:right>
      <x:top>
        <x:color indexed="64"/>
      </x:top>
      <x:bottom style="thin">
        <x:color rgb="ff000000"/>
      </x:bottom>
    </x:border>
  </x:borders>
  <x:cellStyleXfs count="15">
    <x:xf numFmtId="0" fontId="0" fillId="0" borderId="0" applyFont="1" applyAlignment="1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72">
    <x:xf numFmtId="0" fontId="0" fillId="0" borderId="0" xfId="0" applyNumberFormat="1" applyFont="1" applyAlignment="1">
      <x:alignment horizontal="general" vertical="center"/>
    </x:xf>
    <x:xf numFmtId="0" fontId="7" fillId="0" borderId="0" xfId="0" applyNumberFormat="1" applyFont="1" applyAlignment="1">
      <x:alignment horizontal="general" vertical="bottom"/>
    </x:xf>
    <x:xf numFmtId="0" fontId="7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wrapText="1"/>
        </x:xf>
      </mc:Fallback>
    </mc:AlternateContent>
    <x:xf numFmtId="0" fontId="7" fillId="0" borderId="2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/>
        </x:xf>
      </mc:Fallback>
    </mc:AlternateContent>
    <x:xf numFmtId="0" fontId="8" fillId="0" borderId="2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NumberFormat="1" applyFont="1" applyBorder="1" applyAlignment="1">
          <x:alignment horizontal="center" vertical="center"/>
        </x:xf>
      </mc:Fallback>
    </mc:AlternateContent>
    <x:xf numFmtId="0" fontId="7" fillId="2" borderId="2" xfId="0" applyNumberFormat="1" applyFont="1" applyBorder="1" applyAlignment="1">
      <x:alignment horizontal="general" vertical="center"/>
    </x:xf>
    <x:xf numFmtId="0" fontId="7" fillId="0" borderId="5" xfId="0" applyNumberFormat="1" applyFont="1" applyBorder="1" applyAlignment="1">
      <x:alignment horizontal="left" vertical="center"/>
    </x:xf>
    <x:xf numFmtId="0" fontId="7" fillId="0" borderId="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6" fontId="9" fillId="0" borderId="2" xfId="0" applyNumberFormat="1" applyFont="1" applyBorder="1" applyAlignment="1" hs:applyExtension="1">
          <x:alignment horizontal="lef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9" fillId="0" borderId="2" xfId="0" applyNumberFormat="1" applyFont="1" applyBorder="1" applyAlignment="1">
          <x:alignment horizontal="lef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2" xfId="0" applyNumberFormat="1" applyFont="1" applyBorder="1" applyAlignment="1" hs:applyExtension="1">
          <x:alignment horizontal="lef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2" xfId="0" applyNumberFormat="1" applyFont="1" applyBorder="1" applyAlignment="1">
          <x:alignment horizontal="lef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2" xfId="0" applyNumberFormat="1" applyFont="1" applyBorder="1" applyAlignment="1" hs:applyExtension="1">
          <x:alignment horizontal="lef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2" xfId="0" applyNumberFormat="1" applyFont="1" applyBorder="1" applyAlignment="1">
          <x:alignment horizontal="lef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8" fillId="0" borderId="2" xfId="0" applyNumberFormat="1" applyFont="1" applyBorder="1" applyAlignment="1" hs:applyExtension="1">
          <x:alignment horizontal="lef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8" fillId="0" borderId="2" xfId="0" applyNumberFormat="1" applyFont="1" applyBorder="1" applyAlignment="1">
          <x:alignment horizontal="lef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6" fontId="9" fillId="0" borderId="0" xfId="0" applyNumberFormat="1" applyFont="1" applyAlignment="1" hs:applyExtension="1">
          <x:alignment horizontal="lef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6" fontId="9" fillId="0" borderId="0" xfId="0" applyNumberFormat="1" applyFont="1" applyAlignment="1">
          <x:alignment horizontal="left" vertical="center" wrapText="1" readingOrder="1"/>
        </x:xf>
      </mc:Fallback>
    </mc:AlternateContent>
    <x:xf numFmtId="0" fontId="7" fillId="0" borderId="0" xfId="0" applyNumberFormat="1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9" fillId="0" borderId="0" xfId="0" applyNumberFormat="1" applyFont="1" applyAlignment="1" hs:applyExtension="1">
          <x:alignment horizontal="lef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0" xfId="0" applyNumberFormat="1" applyFont="1" applyAlignment="1">
          <x:alignment horizontal="left" vertical="center" wrapText="1" readingOrder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0" borderId="0" xfId="0" applyNumberFormat="1" applyFont="1" applyAlignment="1" hs:applyExtension="1">
          <x:alignment horizontal="left" vertical="center" wrapText="1" readingOrder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0" borderId="0" xfId="0" applyNumberFormat="1" applyFont="1" applyAlignment="1">
          <x:alignment horizontal="left" vertical="center" wrapText="1" readingOrder="1"/>
        </x:xf>
      </mc:Fallback>
    </mc:AlternateContent>
    <x:xf numFmtId="0" fontId="7" fillId="2" borderId="2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NumberFormat="1" applyFont="1" applyAlignment="1">
          <x:alignment horizontal="center" vertical="center"/>
        </x:xf>
      </mc:Fallback>
    </mc:AlternateContent>
    <x:xf numFmtId="0" fontId="7" fillId="3" borderId="2" xfId="0" applyNumberFormat="1" applyFont="1" applyBorder="1" applyAlignment="1">
      <x:alignment horizontal="general" vertical="center"/>
    </x:xf>
    <x:xf numFmtId="0" fontId="10" fillId="0" borderId="0" xfId="0" applyNumberFormat="1" applyFont="1" applyAlignment="1">
      <x:alignment horizontal="general" vertical="center"/>
    </x:xf>
    <x:xf numFmtId="0" fontId="11" fillId="0" borderId="0" xfId="0" applyNumberFormat="1" applyFont="1" applyAlignment="1">
      <x:alignment horizontal="general" vertical="center"/>
    </x:xf>
    <x:xf numFmtId="0" fontId="7" fillId="3" borderId="2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x:xf numFmtId="0" fontId="7" fillId="0" borderId="1" xfId="0" applyNumberFormat="1" applyFont="1" applyBorder="1" applyAlignment="1">
      <x:alignment horizontal="general" vertical="center"/>
    </x:xf>
    <x:xf numFmtId="0" fontId="7" fillId="0" borderId="2" xfId="0" applyNumberFormat="1" applyFont="1" applyBorder="1" applyAlignment="1">
      <x:alignment horizontal="general" vertical="center"/>
    </x:xf>
    <x:xf numFmtId="165" fontId="7" fillId="0" borderId="8" xfId="0" applyNumberFormat="1" applyFont="1" applyBorder="1" applyAlignment="1">
      <x:alignment horizontal="general" vertical="center"/>
    </x:xf>
    <x:xf numFmtId="165" fontId="7" fillId="0" borderId="2" xfId="0" applyNumberFormat="1" applyFont="1" applyBorder="1" applyAlignment="1">
      <x:alignment horizontal="general" vertical="center"/>
    </x:xf>
    <x:xf numFmtId="165" fontId="7" fillId="0" borderId="2" xfId="0" applyNumberFormat="1" applyFont="1" applyBorder="1" applyAlignment="1">
      <x:alignment horizontal="general" vertical="bottom"/>
    </x:xf>
    <x:xf numFmtId="0" fontId="7" fillId="0" borderId="8" xfId="0" applyNumberFormat="1" applyFont="1" applyBorder="1" applyAlignment="1">
      <x:alignment horizontal="general" vertical="center"/>
    </x:xf>
    <x:xf numFmtId="0" fontId="7" fillId="0" borderId="2" xfId="0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" xfId="0" applyNumberFormat="1" applyFont="1" applyBorder="1" applyAlignment="1">
          <x:alignment horizontal="center" vertical="center"/>
        </x:xf>
      </mc:Fallback>
    </mc:AlternateContent>
    <x:xf numFmtId="0" fontId="7" fillId="0" borderId="2" xfId="0" applyNumberFormat="1" applyFont="1" applyBorder="1" applyAlignment="1">
      <x:alignment horizontal="general" vertical="center"/>
    </x:xf>
    <x:xf numFmtId="164" fontId="7" fillId="0" borderId="2" xfId="0" applyNumberFormat="1" applyFont="1" applyBorder="1" applyAlignment="1">
      <x:alignment horizontal="general" vertical="center"/>
    </x:xf>
    <x:xf numFmtId="164" fontId="7" fillId="0" borderId="2" xfId="0" applyNumberFormat="1" applyFont="1" applyBorder="1" applyAlignment="1">
      <x:alignment horizontal="general" vertical="bottom"/>
    </x:xf>
    <x:xf numFmtId="1" fontId="7" fillId="0" borderId="2" xfId="0" applyNumberFormat="1" applyFont="1" applyBorder="1" applyAlignment="1">
      <x:alignment horizontal="general" vertical="center"/>
    </x:xf>
    <x:xf numFmtId="166" fontId="7" fillId="0" borderId="2" xfId="0" applyNumberFormat="1" applyFont="1" applyBorder="1" applyAlignment="1">
      <x:alignment horizontal="general" vertical="center"/>
    </x:xf>
    <x:xf numFmtId="0" fontId="8" fillId="0" borderId="3" xfId="0" applyNumberFormat="1" applyFont="1" applyBorder="1" applyAlignment="1">
      <x:alignment horizontal="general" vertical="center"/>
    </x:xf>
    <x:xf numFmtId="166" fontId="7" fillId="0" borderId="0" xfId="0" applyNumberFormat="1" applyFont="1" applyAlignment="1">
      <x:alignment horizontal="general" vertical="center"/>
    </x:xf>
    <x:xf numFmtId="164" fontId="7" fillId="0" borderId="0" xfId="0" applyNumberFormat="1" applyFont="1" applyAlignment="1">
      <x:alignment horizontal="general" vertical="center"/>
    </x:xf>
    <x:xf numFmtId="164" fontId="7" fillId="0" borderId="2" xfId="0" applyNumberFormat="1" applyFont="1" applyBorder="1" applyAlignment="1">
      <x:alignment horizontal="general" vertical="center" wrapText="1"/>
    </x:xf>
    <x:xf numFmtId="0" fontId="12" fillId="0" borderId="8" xfId="0" applyNumberFormat="1" applyFont="1" applyBorder="1" applyAlignment="1">
      <x:alignment horizontal="general" vertical="center" wrapText="1"/>
    </x:xf>
    <x:xf numFmtId="167" fontId="7" fillId="0" borderId="2" xfId="0" applyNumberFormat="1" applyFont="1" applyBorder="1" applyAlignment="1">
      <x:alignment horizontal="general" vertical="center"/>
    </x:xf>
    <x:xf numFmtId="167" fontId="7" fillId="0" borderId="2" xfId="0" applyNumberFormat="1" applyFont="1" applyBorder="1" applyAlignment="1">
      <x:alignment horizontal="general" vertical="center"/>
    </x:xf>
    <x:xf numFmtId="0" fontId="7" fillId="0" borderId="8" xfId="0" applyNumberFormat="1" applyFont="1" applyBorder="1" applyAlignment="1">
      <x:alignment horizontal="general" vertical="center"/>
    </x:xf>
    <x:xf numFmtId="0" fontId="7" fillId="0" borderId="2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x:xf numFmtId="0" fontId="6" fillId="0" borderId="5" xfId="0" applyNumberFormat="1" applyFont="1" applyBorder="1" applyAlignment="1">
      <x:alignment horizontal="general" vertical="center"/>
    </x:xf>
    <x:xf numFmtId="0" fontId="6" fillId="0" borderId="7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Border="1" applyAlignment="1">
          <x:alignment horizontal="center" vertical="center"/>
        </x:xf>
      </mc:Fallback>
    </mc:AlternateContent>
    <x:xf numFmtId="0" fontId="6" fillId="0" borderId="9" xfId="0" applyNumberFormat="1" applyFont="1" applyBorder="1" applyAlignment="1">
      <x:alignment horizontal="general" vertical="center"/>
    </x:xf>
    <x:xf numFmtId="0" fontId="6" fillId="0" borderId="8" xfId="0" applyNumberFormat="1" applyFont="1" applyBorder="1" applyAlignment="1">
      <x:alignment horizontal="general" vertical="center"/>
    </x:xf>
    <x:xf numFmtId="164" fontId="7" fillId="0" borderId="10" xfId="0" applyNumberFormat="1" applyFont="1" applyBorder="1" applyAlignment="1">
      <x:alignment horizontal="left" vertical="center" wrapText="1"/>
    </x:xf>
    <x:xf numFmtId="0" fontId="6" fillId="0" borderId="11" xfId="0" applyNumberFormat="1" applyFont="1" applyBorder="1" applyAlignment="1">
      <x:alignment horizontal="general" vertical="center"/>
    </x:xf>
    <x:xf numFmtId="0" fontId="6" fillId="0" borderId="12" xfId="0" applyNumberFormat="1" applyFont="1" applyBorder="1" applyAlignment="1">
      <x:alignment horizontal="general" vertical="center"/>
    </x:xf>
    <x:xf numFmtId="0" fontId="6" fillId="0" borderId="13" xfId="0" applyNumberFormat="1" applyFont="1" applyBorder="1" applyAlignment="1">
      <x:alignment horizontal="general" vertical="center"/>
    </x:xf>
    <x:xf numFmtId="0" fontId="6" fillId="0" borderId="4" xfId="0" applyNumberFormat="1" applyFont="1" applyBorder="1" applyAlignment="1">
      <x:alignment horizontal="general" vertical="center"/>
    </x:xf>
    <x:xf numFmtId="0" fontId="6" fillId="0" borderId="14" xfId="0" applyNumberFormat="1" applyFont="1" applyBorder="1" applyAlignment="1">
      <x:alignment horizontal="general" vertical="center"/>
    </x:xf>
    <x:xf numFmtId="0" fontId="6" fillId="0" borderId="15" xfId="0" applyNumberFormat="1" applyFont="1" applyBorder="1" applyAlignment="1">
      <x:alignment horizontal="general" vertical="center"/>
    </x:xf>
    <x:xf numFmtId="0" fontId="6" fillId="0" borderId="6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NumberFormat="1" applyFont="1" applyBorder="1" applyAlignment="1">
          <x:alignment horizontal="center" vertical="center"/>
        </x:xf>
      </mc:Fallback>
    </mc:AlternateContent>
  </x:cellXfs>
  <x:cellStyles count="1">
    <x:cellStyle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mailto:jaekwang.choi@navercorp.com" TargetMode="External" /><Relationship Id="rId2" Type="http://schemas.openxmlformats.org/officeDocument/2006/relationships/hyperlink" Target="mailto:dj.shin@nhn.com" TargetMode="External" /><Relationship Id="rId3" Type="http://schemas.openxmlformats.org/officeDocument/2006/relationships/hyperlink" Target="mailto:felix.jk@kakaocloud.com" TargetMode="External" /><Relationship Id="rId4" Type="http://schemas.openxmlformats.org/officeDocument/2006/relationships/hyperlink" Target="mailto:tony.fung@konsttech.ai" TargetMode="External" /><Relationship Id="rId5" Type="http://schemas.openxmlformats.org/officeDocument/2006/relationships/hyperlink" Target="mailto:LeNTM23@fpt.com" TargetMode="External" /><Relationship Id="rId6" Type="http://schemas.openxmlformats.org/officeDocument/2006/relationships/hyperlink" Target="mailto:jagnola@crusoe.ai" TargetMode="External" /><Relationship Id="rId7" Type="http://schemas.openxmlformats.org/officeDocument/2006/relationships/hyperlink" Target="mailto:reese@massedcompute.com" TargetMode="External" /><Relationship Id="rId8" Type="http://schemas.openxmlformats.org/officeDocument/2006/relationships/vmlDrawing" Target="../drawings/vmlDrawing1.vml"  /><Relationship Id="rId9" Type="http://schemas.openxmlformats.org/officeDocument/2006/relationships/comments" Target="../comments1.xml"  /></Relationships>
</file>

<file path=xl/worksheets/_rels/sheet2.xml.rels><?xml version="1.0" encoding="UTF-8" standalone="yes" ?><Relationships xmlns="http://schemas.openxmlformats.org/package/2006/relationships"><Relationship Id="rId1" Type="http://schemas.openxmlformats.org/officeDocument/2006/relationships/hyperlink" Target="mailto:jaekwang.choi@navercorp.com" TargetMode="External" /><Relationship Id="rId2" Type="http://schemas.openxmlformats.org/officeDocument/2006/relationships/hyperlink" Target="mailto:dj.shin@nhn.com" TargetMode="External" /><Relationship Id="rId3" Type="http://schemas.openxmlformats.org/officeDocument/2006/relationships/hyperlink" Target="mailto:felix.jk@kakaocloud.com" TargetMode="External" /><Relationship Id="rId4" Type="http://schemas.openxmlformats.org/officeDocument/2006/relationships/hyperlink" Target="mailto:tony.fung@konsttech.ai" TargetMode="External" /><Relationship Id="rId5" Type="http://schemas.openxmlformats.org/officeDocument/2006/relationships/hyperlink" Target="mailto:LeNTM23@fpt.com" TargetMode="External" /><Relationship Id="rId6" Type="http://schemas.openxmlformats.org/officeDocument/2006/relationships/hyperlink" Target="mailto:jagnola@crusoe.ai" TargetMode="External" /><Relationship Id="rId7" Type="http://schemas.openxmlformats.org/officeDocument/2006/relationships/hyperlink" Target="mailto:reese@massedcompute.com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138"/>
  <x:sheetViews>
    <x:sheetView tabSelected="1" topLeftCell="A1" zoomScaleNormal="100" zoomScaleSheetLayoutView="180" workbookViewId="0">
      <x:selection activeCell="A1" activeCellId="0" sqref="A1:A1"/>
    </x:sheetView>
  </x:sheetViews>
  <x:sheetFormatPr defaultColWidth="14.4296875" defaultRowHeight="15" customHeight="1"/>
  <x:cols>
    <x:col min="1" max="1" width="2.70703125" customWidth="1"/>
    <x:col min="2" max="2" width="15.13671875" customWidth="1"/>
    <x:col min="3" max="3" width="21" customWidth="1"/>
    <x:col min="4" max="4" width="13.56640625" customWidth="1"/>
    <x:col min="5" max="6" width="17.70703125" customWidth="1"/>
    <x:col min="7" max="7" width="19.13671875" customWidth="1"/>
    <x:col min="8" max="8" width="12.13671875" customWidth="1"/>
    <x:col min="9" max="9" width="12.4296875" customWidth="1"/>
    <x:col min="10" max="10" width="11.70703125" customWidth="1"/>
    <x:col min="11" max="12" width="18" customWidth="1"/>
    <x:col min="13" max="13" width="19.13671875" customWidth="1"/>
    <x:col min="14" max="14" width="11.56640625" customWidth="1"/>
    <x:col min="15" max="16" width="17.56640625" customWidth="1"/>
    <x:col min="17" max="17" width="18.70703125" customWidth="1"/>
    <x:col min="18" max="20" width="8.70703125" customWidth="1"/>
  </x:cols>
  <x:sheetData>
    <x:row r="1" spans="1:17" ht="16.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2"/>
      <x:c r="N1" s="1"/>
      <x:c r="O1" s="1"/>
      <x:c r="P1" s="1"/>
      <x:c r="Q1" s="1"/>
    </x:row>
    <x:row r="2" spans="1:17" ht="16.5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2"/>
      <x:c r="N2" s="1"/>
      <x:c r="O2" s="1"/>
      <x:c r="P2" s="1"/>
      <x:c r="Q2" s="1"/>
    </x:row>
    <x:row r="3" spans="1:17" ht="16.5" customHeight="1">
      <x:c r="A3" s="1"/>
      <x:c r="B3" s="1"/>
      <x:c r="C3" t="s">
        <x:v>64</x:v>
      </x:c>
      <x:c r="D3">
        <x:v>1500</x:v>
      </x:c>
      <x:c r="E3" s="1"/>
      <x:c r="F3" s="1"/>
      <x:c r="G3" s="1"/>
      <x:c r="H3" s="1"/>
      <x:c r="I3" s="1"/>
      <x:c r="J3" s="1"/>
      <x:c r="K3" s="1"/>
      <x:c r="L3" s="1"/>
      <x:c r="M3" s="2"/>
      <x:c r="N3" s="1"/>
      <x:c r="O3" s="1"/>
      <x:c r="P3" s="1"/>
      <x:c r="Q3" s="1"/>
    </x:row>
    <x:row r="4" spans="1:17" ht="16.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2"/>
      <x:c r="N4" s="1"/>
      <x:c r="O4" s="1"/>
      <x:c r="P4" s="1"/>
      <x:c r="Q4" s="1"/>
    </x:row>
    <x:row r="5" spans="1:17" ht="16.5" customHeight="1">
      <x:c r="A5" s="1"/>
      <x:c r="B5" s="67" t="s">
        <x:v>39</x:v>
      </x:c>
      <x:c r="C5" s="4"/>
      <x:c r="D5" s="55" t="s">
        <x:v>62</x:v>
      </x:c>
      <x:c r="E5" s="56"/>
      <x:c r="F5" s="56"/>
      <x:c r="G5" s="57"/>
      <x:c r="H5" s="1"/>
      <x:c r="I5" s="4"/>
      <x:c r="J5" s="55" t="s">
        <x:v>62</x:v>
      </x:c>
      <x:c r="K5" s="56"/>
      <x:c r="L5" s="56"/>
      <x:c r="M5" s="57"/>
      <x:c r="N5" s="1"/>
      <x:c r="O5" s="1"/>
      <x:c r="P5" s="1"/>
      <x:c r="Q5" s="1"/>
    </x:row>
    <x:row r="6" spans="1:17" ht="16.5" customHeight="1">
      <x:c r="A6" s="1"/>
      <x:c r="B6" s="53"/>
      <x:c r="C6" s="6" t="s">
        <x:v>12</x:v>
      </x:c>
      <x:c r="D6" s="7" t="s">
        <x:v>5</x:v>
      </x:c>
      <x:c r="E6" s="8" t="s">
        <x:v>40</x:v>
      </x:c>
      <x:c r="F6" s="8" t="s">
        <x:v>36</x:v>
      </x:c>
      <x:c r="G6" s="8" t="s">
        <x:v>35</x:v>
      </x:c>
      <x:c r="H6" s="1"/>
      <x:c r="I6" s="9" t="s">
        <x:v>12</x:v>
      </x:c>
      <x:c r="J6" s="7" t="s">
        <x:v>5</x:v>
      </x:c>
      <x:c r="K6" s="8" t="s">
        <x:v>40</x:v>
      </x:c>
      <x:c r="L6" s="8" t="s">
        <x:v>36</x:v>
      </x:c>
      <x:c r="M6" s="10" t="s">
        <x:v>35</x:v>
      </x:c>
      <x:c r="N6" s="1"/>
      <x:c r="O6" s="1"/>
      <x:c r="P6" s="1"/>
      <x:c r="Q6" s="1"/>
    </x:row>
    <x:row r="7" spans="1:17" ht="16.5" customHeight="1">
      <x:c r="A7" s="1"/>
      <x:c r="B7" s="53"/>
      <x:c r="C7" s="11" t="s">
        <x:v>77</x:v>
      </x:c>
      <x:c r="D7" s="12">
        <x:v>7000000</x:v>
      </x:c>
      <x:c r="E7" s="12">
        <x:f t="shared" ref="E7:E8" si="0">D7*0.85</x:f>
        <x:v>5950000</x:v>
      </x:c>
      <x:c r="F7" s="12">
        <x:f t="shared" ref="F7:F8" si="1">D7*0.7</x:f>
        <x:v>4900000</x:v>
      </x:c>
      <x:c r="G7" s="12">
        <x:f t="shared" ref="G7:G8" si="2">D7*0.5</x:f>
        <x:v>3500000</x:v>
      </x:c>
      <x:c r="H7" s="1"/>
      <x:c r="I7" s="11" t="s">
        <x:v>77</x:v>
      </x:c>
      <x:c r="J7" s="13">
        <x:f t="shared" ref="J7:M7" si="3">D7/$D$3</x:f>
        <x:v>4666.666666666667</x:v>
      </x:c>
      <x:c r="K7" s="13">
        <x:f t="shared" si="3"/>
        <x:v>3966.6666666666665</x:v>
      </x:c>
      <x:c r="L7" s="13">
        <x:f t="shared" si="3"/>
        <x:v>3266.6666666666665</x:v>
      </x:c>
      <x:c r="M7" s="14">
        <x:f t="shared" si="3"/>
        <x:v>2333.3333333333335</x:v>
      </x:c>
      <x:c r="N7" s="1"/>
      <x:c r="O7" s="1"/>
      <x:c r="P7" s="1"/>
      <x:c r="Q7" s="1"/>
    </x:row>
    <x:row r="8" spans="1:17" ht="16.5" customHeight="1">
      <x:c r="A8" s="1"/>
      <x:c r="B8" s="53"/>
      <x:c r="C8" s="11" t="s">
        <x:v>66</x:v>
      </x:c>
      <x:c r="D8" s="12">
        <x:v>8000000</x:v>
      </x:c>
      <x:c r="E8" s="12">
        <x:f t="shared" si="0"/>
        <x:v>6800000</x:v>
      </x:c>
      <x:c r="F8" s="12">
        <x:f t="shared" si="1"/>
        <x:v>5600000</x:v>
      </x:c>
      <x:c r="G8" s="12">
        <x:f t="shared" si="2"/>
        <x:v>4000000</x:v>
      </x:c>
      <x:c r="H8" s="1"/>
      <x:c r="I8" s="11" t="s">
        <x:v>66</x:v>
      </x:c>
      <x:c r="J8" s="13">
        <x:f t="shared" ref="J8:M8" si="4">D8/$D$3</x:f>
        <x:v>5333.333333333333</x:v>
      </x:c>
      <x:c r="K8" s="13">
        <x:f t="shared" si="4"/>
        <x:v>4533.333333333333</x:v>
      </x:c>
      <x:c r="L8" s="13">
        <x:f t="shared" si="4"/>
        <x:v>3733.3333333333335</x:v>
      </x:c>
      <x:c r="M8" s="14">
        <x:f t="shared" si="4"/>
        <x:v>2666.6666666666665</x:v>
      </x:c>
      <x:c r="N8" s="1"/>
      <x:c r="O8" s="1"/>
      <x:c r="P8" s="1"/>
      <x:c r="Q8" s="1"/>
    </x:row>
    <x:row r="9" spans="1:17" ht="16.5" customHeight="1">
      <x:c r="A9" s="1"/>
      <x:c r="B9" s="53"/>
      <x:c r="C9" s="11" t="s">
        <x:v>18</x:v>
      </x:c>
      <x:c r="D9" s="12">
        <x:v>9140000</x:v>
      </x:c>
      <x:c r="E9" s="12">
        <x:v>7770000</x:v>
      </x:c>
      <x:c r="F9" s="12">
        <x:v>6400000</x:v>
      </x:c>
      <x:c r="G9" s="12">
        <x:v>4570000</x:v>
      </x:c>
      <x:c r="H9" s="1"/>
      <x:c r="I9" s="11" t="s">
        <x:v>18</x:v>
      </x:c>
      <x:c r="J9" s="13">
        <x:f t="shared" ref="J9:M9" si="5">D9/$D$3</x:f>
        <x:v>6093.333333333333</x:v>
      </x:c>
      <x:c r="K9" s="13">
        <x:f t="shared" si="5"/>
        <x:v>5180</x:v>
      </x:c>
      <x:c r="L9" s="13">
        <x:f t="shared" si="5"/>
        <x:v>4266.666666666667</x:v>
      </x:c>
      <x:c r="M9" s="14">
        <x:f t="shared" si="5"/>
        <x:v>3046.6666666666665</x:v>
      </x:c>
      <x:c r="N9" s="1"/>
      <x:c r="O9" s="1"/>
      <x:c r="P9" s="1"/>
      <x:c r="Q9" s="1"/>
    </x:row>
    <x:row r="10" spans="1:17" ht="16.5" customHeight="1">
      <x:c r="A10" s="1"/>
      <x:c r="B10" s="53"/>
      <x:c r="C10" s="11" t="s">
        <x:v>2</x:v>
      </x:c>
      <x:c r="D10" s="15">
        <x:v>23800000</x:v>
      </x:c>
      <x:c r="E10" s="15">
        <x:v>20000000</x:v>
      </x:c>
      <x:c r="F10" s="15">
        <x:v>19000000</x:v>
      </x:c>
      <x:c r="G10" s="15">
        <x:v>16000000</x:v>
      </x:c>
      <x:c r="H10" s="1"/>
      <x:c r="I10" s="11" t="s">
        <x:v>2</x:v>
      </x:c>
      <x:c r="J10" s="13">
        <x:f t="shared" ref="J10:M10" si="6">D10/$D$3</x:f>
        <x:v>15866.666666666666</x:v>
      </x:c>
      <x:c r="K10" s="13">
        <x:f t="shared" si="6"/>
        <x:v>13333.333333333334</x:v>
      </x:c>
      <x:c r="L10" s="13">
        <x:f t="shared" si="6"/>
        <x:v>12666.666666666666</x:v>
      </x:c>
      <x:c r="M10" s="14">
        <x:f t="shared" si="6"/>
        <x:v>10666.666666666666</x:v>
      </x:c>
      <x:c r="N10" s="1"/>
      <x:c r="O10" s="1"/>
      <x:c r="P10" s="1"/>
      <x:c r="Q10" s="1"/>
    </x:row>
    <x:row r="11" spans="1:17" ht="16.5" customHeight="1">
      <x:c r="A11" s="1"/>
      <x:c r="B11" s="53"/>
      <x:c r="C11" s="11" t="s">
        <x:v>11</x:v>
      </x:c>
      <x:c r="D11" s="12">
        <x:v>41600000</x:v>
      </x:c>
      <x:c r="E11" s="12">
        <x:v>35360000</x:v>
      </x:c>
      <x:c r="F11" s="12">
        <x:v>29120000</x:v>
      </x:c>
      <x:c r="G11" s="12">
        <x:v>20800000</x:v>
      </x:c>
      <x:c r="H11" s="1"/>
      <x:c r="I11" s="11" t="s">
        <x:v>11</x:v>
      </x:c>
      <x:c r="J11" s="13">
        <x:f t="shared" ref="J11:M11" si="7">D11/$D$3</x:f>
        <x:v>27733.333333333332</x:v>
      </x:c>
      <x:c r="K11" s="13">
        <x:f t="shared" si="7"/>
        <x:v>23573.333333333332</x:v>
      </x:c>
      <x:c r="L11" s="13">
        <x:f t="shared" si="7"/>
        <x:v>19413.333333333332</x:v>
      </x:c>
      <x:c r="M11" s="14">
        <x:f t="shared" si="7"/>
        <x:v>13866.666666666666</x:v>
      </x:c>
      <x:c r="N11" s="1"/>
      <x:c r="O11" s="1"/>
      <x:c r="P11" s="1"/>
      <x:c r="Q11" s="1"/>
    </x:row>
    <x:row r="12" spans="1:17" ht="16.5" customHeight="1">
      <x:c r="A12" s="1"/>
      <x:c r="B12" s="53"/>
      <x:c r="C12" s="11" t="s">
        <x:v>6</x:v>
      </x:c>
      <x:c r="D12" s="15">
        <x:v>43000000</x:v>
      </x:c>
      <x:c r="E12" s="15">
        <x:v>39000000</x:v>
      </x:c>
      <x:c r="F12" s="15">
        <x:v>40320000</x:v>
      </x:c>
      <x:c r="G12" s="15">
        <x:v>33000000</x:v>
      </x:c>
      <x:c r="H12" s="1"/>
      <x:c r="I12" s="11" t="s">
        <x:v>6</x:v>
      </x:c>
      <x:c r="J12" s="13">
        <x:f t="shared" ref="J12:M12" si="8">D12/$D$3</x:f>
        <x:v>28666.666666666668</x:v>
      </x:c>
      <x:c r="K12" s="13">
        <x:f t="shared" si="8"/>
        <x:v>26000</x:v>
      </x:c>
      <x:c r="L12" s="13">
        <x:f t="shared" si="8"/>
        <x:v>26880</x:v>
      </x:c>
      <x:c r="M12" s="14">
        <x:f t="shared" si="8"/>
        <x:v>22000</x:v>
      </x:c>
      <x:c r="N12" s="1"/>
      <x:c r="O12" s="1"/>
      <x:c r="P12" s="1"/>
      <x:c r="Q12" s="1"/>
    </x:row>
    <x:row r="13" spans="1:17" ht="16.5" customHeight="1">
      <x:c r="A13" s="1"/>
      <x:c r="B13" s="54"/>
      <x:c r="C13" s="11" t="s">
        <x:v>19</x:v>
      </x:c>
      <x:c r="D13" s="12">
        <x:v>80000000</x:v>
      </x:c>
      <x:c r="E13" s="12">
        <x:v>68000000</x:v>
      </x:c>
      <x:c r="F13" s="12">
        <x:v>56000000</x:v>
      </x:c>
      <x:c r="G13" s="12">
        <x:v>40000000</x:v>
      </x:c>
      <x:c r="H13" s="1"/>
      <x:c r="I13" s="11" t="s">
        <x:v>19</x:v>
      </x:c>
      <x:c r="J13" s="13">
        <x:f t="shared" ref="J13:M13" si="9">D13/$D$3</x:f>
        <x:v>53333.333333333336</x:v>
      </x:c>
      <x:c r="K13" s="13">
        <x:f t="shared" si="9"/>
        <x:v>45333.333333333336</x:v>
      </x:c>
      <x:c r="L13" s="13">
        <x:f t="shared" si="9"/>
        <x:v>37333.333333333336</x:v>
      </x:c>
      <x:c r="M13" s="14">
        <x:f t="shared" si="9"/>
        <x:v>26666.666666666668</x:v>
      </x:c>
      <x:c r="N13" s="1"/>
      <x:c r="O13" s="1"/>
      <x:c r="P13" s="1"/>
      <x:c r="Q13" s="1"/>
    </x:row>
    <x:row r="14" spans="1:17" ht="16.5" customHeight="1">
      <x:c r="A14" s="1"/>
      <x:c r="B14" s="16"/>
      <x:c r="C14" s="17"/>
      <x:c r="D14" s="16"/>
      <x:c r="E14" s="16"/>
      <x:c r="F14" s="16"/>
      <x:c r="G14" s="16"/>
      <x:c r="H14" s="1"/>
      <x:c r="I14" s="17"/>
      <x:c r="J14" s="18"/>
      <x:c r="K14" s="18"/>
      <x:c r="L14" s="18"/>
      <x:c r="M14" s="19"/>
      <x:c r="N14" s="1"/>
      <x:c r="O14" s="1"/>
      <x:c r="P14" s="1"/>
      <x:c r="Q14" s="1"/>
    </x:row>
    <x:row r="15" spans="1:17" ht="16.5" customHeight="1">
      <x:c r="A15" s="1"/>
      <x:c r="B15" s="67" t="s">
        <x:v>37</x:v>
      </x:c>
      <x:c r="C15" s="4"/>
      <x:c r="D15" s="55" t="s">
        <x:v>62</x:v>
      </x:c>
      <x:c r="E15" s="56"/>
      <x:c r="F15" s="56"/>
      <x:c r="G15" s="57"/>
      <x:c r="H15" s="1"/>
      <x:c r="I15" s="4"/>
      <x:c r="J15" s="55" t="s">
        <x:v>62</x:v>
      </x:c>
      <x:c r="K15" s="56"/>
      <x:c r="L15" s="56"/>
      <x:c r="M15" s="57"/>
      <x:c r="N15" s="1"/>
      <x:c r="O15" s="1"/>
      <x:c r="P15" s="1"/>
      <x:c r="Q15" s="1"/>
    </x:row>
    <x:row r="16" spans="1:17" ht="16.5" customHeight="1">
      <x:c r="A16" s="1"/>
      <x:c r="B16" s="53"/>
      <x:c r="C16" s="6" t="s">
        <x:v>10</x:v>
      </x:c>
      <x:c r="D16" s="7" t="s">
        <x:v>5</x:v>
      </x:c>
      <x:c r="E16" s="8" t="s">
        <x:v>40</x:v>
      </x:c>
      <x:c r="F16" s="8" t="s">
        <x:v>36</x:v>
      </x:c>
      <x:c r="G16" s="8" t="s">
        <x:v>35</x:v>
      </x:c>
      <x:c r="H16" s="1"/>
      <x:c r="I16" s="20" t="s">
        <x:v>10</x:v>
      </x:c>
      <x:c r="J16" s="7" t="s">
        <x:v>5</x:v>
      </x:c>
      <x:c r="K16" s="8" t="s">
        <x:v>40</x:v>
      </x:c>
      <x:c r="L16" s="8" t="s">
        <x:v>36</x:v>
      </x:c>
      <x:c r="M16" s="10" t="s">
        <x:v>35</x:v>
      </x:c>
      <x:c r="N16" s="1"/>
      <x:c r="O16" s="1"/>
      <x:c r="P16" s="1"/>
      <x:c r="Q16" s="1"/>
    </x:row>
    <x:row r="17" spans="1:17" ht="16.5" customHeight="1">
      <x:c r="A17" s="1"/>
      <x:c r="B17" s="53"/>
      <x:c r="C17" s="11" t="s">
        <x:v>77</x:v>
      </x:c>
      <x:c r="D17" s="12">
        <x:f t="shared" ref="D17:G17" si="10">D7/8</x:f>
        <x:v>875000</x:v>
      </x:c>
      <x:c r="E17" s="12">
        <x:f t="shared" si="10"/>
        <x:v>743750</x:v>
      </x:c>
      <x:c r="F17" s="12">
        <x:f t="shared" si="10"/>
        <x:v>612500</x:v>
      </x:c>
      <x:c r="G17" s="12">
        <x:f t="shared" si="10"/>
        <x:v>437500</x:v>
      </x:c>
      <x:c r="H17" s="1"/>
      <x:c r="I17" s="11" t="s">
        <x:v>77</x:v>
      </x:c>
      <x:c r="J17" s="13">
        <x:f t="shared" ref="J17:M17" si="11">D17/$D$3</x:f>
        <x:v>583.33333333333337</x:v>
      </x:c>
      <x:c r="K17" s="13">
        <x:f t="shared" si="11"/>
        <x:v>495.83333333333331</x:v>
      </x:c>
      <x:c r="L17" s="13">
        <x:f t="shared" si="11"/>
        <x:v>408.33333333333331</x:v>
      </x:c>
      <x:c r="M17" s="14">
        <x:f t="shared" si="11"/>
        <x:v>291.66666666666669</x:v>
      </x:c>
      <x:c r="N17" s="1"/>
      <x:c r="O17" s="1"/>
      <x:c r="P17" s="1"/>
      <x:c r="Q17" s="1"/>
    </x:row>
    <x:row r="18" spans="1:17" ht="16.5" customHeight="1">
      <x:c r="A18" s="1"/>
      <x:c r="B18" s="53"/>
      <x:c r="C18" s="11" t="s">
        <x:v>66</x:v>
      </x:c>
      <x:c r="D18" s="12">
        <x:f t="shared" ref="D18:G18" si="12">D8/8</x:f>
        <x:v>1000000</x:v>
      </x:c>
      <x:c r="E18" s="12">
        <x:f t="shared" si="12"/>
        <x:v>850000</x:v>
      </x:c>
      <x:c r="F18" s="12">
        <x:f t="shared" si="12"/>
        <x:v>700000</x:v>
      </x:c>
      <x:c r="G18" s="12">
        <x:f t="shared" si="12"/>
        <x:v>500000</x:v>
      </x:c>
      <x:c r="H18" s="1"/>
      <x:c r="I18" s="11" t="s">
        <x:v>66</x:v>
      </x:c>
      <x:c r="J18" s="13">
        <x:f t="shared" ref="J18:M18" si="13">D18/$D$3</x:f>
        <x:v>666.66666666666663</x:v>
      </x:c>
      <x:c r="K18" s="13">
        <x:f t="shared" si="13"/>
        <x:v>566.66666666666663</x:v>
      </x:c>
      <x:c r="L18" s="13">
        <x:f t="shared" si="13"/>
        <x:v>466.66666666666669</x:v>
      </x:c>
      <x:c r="M18" s="14">
        <x:f t="shared" si="13"/>
        <x:v>333.33333333333331</x:v>
      </x:c>
      <x:c r="N18" s="1"/>
      <x:c r="O18" s="1"/>
      <x:c r="P18" s="1"/>
      <x:c r="Q18" s="1"/>
    </x:row>
    <x:row r="19" spans="1:17" ht="16.5" customHeight="1">
      <x:c r="A19" s="1"/>
      <x:c r="B19" s="53"/>
      <x:c r="C19" s="11" t="s">
        <x:v>18</x:v>
      </x:c>
      <x:c r="D19" s="12">
        <x:f t="shared" ref="D19:G19" si="14">D9/8</x:f>
        <x:v>1142500</x:v>
      </x:c>
      <x:c r="E19" s="12">
        <x:f t="shared" si="14"/>
        <x:v>971250</x:v>
      </x:c>
      <x:c r="F19" s="12">
        <x:f t="shared" si="14"/>
        <x:v>800000</x:v>
      </x:c>
      <x:c r="G19" s="12">
        <x:f t="shared" si="14"/>
        <x:v>571250</x:v>
      </x:c>
      <x:c r="H19" s="1"/>
      <x:c r="I19" s="11" t="s">
        <x:v>18</x:v>
      </x:c>
      <x:c r="J19" s="13">
        <x:f t="shared" ref="J19:M19" si="15">D19/$D$3</x:f>
        <x:v>761.66666666666663</x:v>
      </x:c>
      <x:c r="K19" s="13">
        <x:f t="shared" si="15"/>
        <x:v>647.5</x:v>
      </x:c>
      <x:c r="L19" s="13">
        <x:f t="shared" si="15"/>
        <x:v>533.33333333333337</x:v>
      </x:c>
      <x:c r="M19" s="14">
        <x:f t="shared" si="15"/>
        <x:v>380.83333333333331</x:v>
      </x:c>
      <x:c r="N19" s="1"/>
      <x:c r="O19" s="1"/>
      <x:c r="P19" s="1"/>
      <x:c r="Q19" s="1"/>
    </x:row>
    <x:row r="20" spans="1:17" ht="16.5" customHeight="1">
      <x:c r="A20" s="1"/>
      <x:c r="B20" s="53"/>
      <x:c r="C20" s="11" t="s">
        <x:v>2</x:v>
      </x:c>
      <x:c r="D20" s="12">
        <x:f t="shared" ref="D20:G20" si="16">D10/8</x:f>
        <x:v>2975000</x:v>
      </x:c>
      <x:c r="E20" s="12">
        <x:f t="shared" si="16"/>
        <x:v>2500000</x:v>
      </x:c>
      <x:c r="F20" s="12">
        <x:f t="shared" si="16"/>
        <x:v>2375000</x:v>
      </x:c>
      <x:c r="G20" s="12">
        <x:f t="shared" si="16"/>
        <x:v>2000000</x:v>
      </x:c>
      <x:c r="H20" s="1"/>
      <x:c r="I20" s="11" t="s">
        <x:v>2</x:v>
      </x:c>
      <x:c r="J20" s="13">
        <x:f t="shared" ref="J20:M20" si="17">D20/$D$3</x:f>
        <x:v>1983.3333333333333</x:v>
      </x:c>
      <x:c r="K20" s="13">
        <x:f t="shared" si="17"/>
        <x:v>1666.6666666666667</x:v>
      </x:c>
      <x:c r="L20" s="13">
        <x:f t="shared" si="17"/>
        <x:v>1583.3333333333333</x:v>
      </x:c>
      <x:c r="M20" s="14">
        <x:f t="shared" si="17"/>
        <x:v>1333.3333333333333</x:v>
      </x:c>
      <x:c r="N20" s="1"/>
      <x:c r="O20" s="1"/>
      <x:c r="P20" s="1"/>
      <x:c r="Q20" s="1"/>
    </x:row>
    <x:row r="21" spans="1:17" ht="16.5" customHeight="1">
      <x:c r="A21" s="1"/>
      <x:c r="B21" s="53"/>
      <x:c r="C21" s="11" t="s">
        <x:v>11</x:v>
      </x:c>
      <x:c r="D21" s="12">
        <x:f t="shared" ref="D21:G21" si="18">D11/8</x:f>
        <x:v>5200000</x:v>
      </x:c>
      <x:c r="E21" s="12">
        <x:f t="shared" si="18"/>
        <x:v>4420000</x:v>
      </x:c>
      <x:c r="F21" s="12">
        <x:f t="shared" si="18"/>
        <x:v>3640000</x:v>
      </x:c>
      <x:c r="G21" s="12">
        <x:f t="shared" si="18"/>
        <x:v>2600000</x:v>
      </x:c>
      <x:c r="H21" s="1"/>
      <x:c r="I21" s="11" t="s">
        <x:v>11</x:v>
      </x:c>
      <x:c r="J21" s="13">
        <x:f t="shared" ref="J21:M21" si="19">D21/$D$3</x:f>
        <x:v>3466.6666666666665</x:v>
      </x:c>
      <x:c r="K21" s="13">
        <x:f t="shared" si="19"/>
        <x:v>2946.6666666666665</x:v>
      </x:c>
      <x:c r="L21" s="13">
        <x:f t="shared" si="19"/>
        <x:v>2426.6666666666665</x:v>
      </x:c>
      <x:c r="M21" s="14">
        <x:f t="shared" si="19"/>
        <x:v>1733.3333333333333</x:v>
      </x:c>
      <x:c r="N21" s="1"/>
      <x:c r="O21" s="1"/>
      <x:c r="P21" s="1"/>
      <x:c r="Q21" s="1"/>
    </x:row>
    <x:row r="22" spans="1:17" ht="16.5" customHeight="1">
      <x:c r="A22" s="1"/>
      <x:c r="B22" s="53"/>
      <x:c r="C22" s="11" t="s">
        <x:v>6</x:v>
      </x:c>
      <x:c r="D22" s="12">
        <x:f t="shared" ref="D22:G22" si="20">D12/8</x:f>
        <x:v>5375000</x:v>
      </x:c>
      <x:c r="E22" s="12">
        <x:f t="shared" si="20"/>
        <x:v>4875000</x:v>
      </x:c>
      <x:c r="F22" s="12">
        <x:f t="shared" si="20"/>
        <x:v>5040000</x:v>
      </x:c>
      <x:c r="G22" s="12">
        <x:f t="shared" si="20"/>
        <x:v>4125000</x:v>
      </x:c>
      <x:c r="H22" s="1"/>
      <x:c r="I22" s="11" t="s">
        <x:v>6</x:v>
      </x:c>
      <x:c r="J22" s="13">
        <x:f t="shared" ref="J22:M22" si="21">D22/$D$3</x:f>
        <x:v>3583.3333333333335</x:v>
      </x:c>
      <x:c r="K22" s="13">
        <x:f t="shared" si="21"/>
        <x:v>3250</x:v>
      </x:c>
      <x:c r="L22" s="13">
        <x:f t="shared" si="21"/>
        <x:v>3360</x:v>
      </x:c>
      <x:c r="M22" s="14">
        <x:f t="shared" si="21"/>
        <x:v>2750</x:v>
      </x:c>
      <x:c r="N22" s="1"/>
      <x:c r="O22" s="1"/>
      <x:c r="P22" s="1"/>
      <x:c r="Q22" s="1"/>
    </x:row>
    <x:row r="23" spans="1:17" ht="16.5" customHeight="1">
      <x:c r="A23" s="1"/>
      <x:c r="B23" s="54"/>
      <x:c r="C23" s="11" t="s">
        <x:v>19</x:v>
      </x:c>
      <x:c r="D23" s="12">
        <x:f t="shared" ref="D23:G23" si="22">D13/8</x:f>
        <x:v>10000000</x:v>
      </x:c>
      <x:c r="E23" s="12">
        <x:f t="shared" si="22"/>
        <x:v>8500000</x:v>
      </x:c>
      <x:c r="F23" s="12">
        <x:f t="shared" si="22"/>
        <x:v>7000000</x:v>
      </x:c>
      <x:c r="G23" s="12">
        <x:f t="shared" si="22"/>
        <x:v>5000000</x:v>
      </x:c>
      <x:c r="H23" s="1"/>
      <x:c r="I23" s="11" t="s">
        <x:v>19</x:v>
      </x:c>
      <x:c r="J23" s="13">
        <x:f t="shared" ref="J23:M23" si="23">D23/$D$3</x:f>
        <x:v>6666.666666666667</x:v>
      </x:c>
      <x:c r="K23" s="13">
        <x:f t="shared" si="23"/>
        <x:v>5666.666666666667</x:v>
      </x:c>
      <x:c r="L23" s="13">
        <x:f t="shared" si="23"/>
        <x:v>4666.666666666667</x:v>
      </x:c>
      <x:c r="M23" s="14">
        <x:f t="shared" si="23"/>
        <x:v>3333.3333333333335</x:v>
      </x:c>
      <x:c r="N23" s="1"/>
      <x:c r="O23" s="1"/>
      <x:c r="P23" s="1"/>
      <x:c r="Q23" s="1"/>
    </x:row>
    <x:row r="24" spans="1:17" ht="16.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2"/>
      <x:c r="N24" s="1"/>
      <x:c r="O24" s="1"/>
      <x:c r="P24" s="1"/>
      <x:c r="Q24" s="1"/>
    </x:row>
    <x:row r="25" spans="1:20" ht="16.5" customHeight="1">
      <x:c r="A25" s="1"/>
      <x:c r="B25" s="68" t="s">
        <x:v>38</x:v>
      </x:c>
      <x:c r="C25" s="4"/>
      <x:c r="D25" s="55" t="s">
        <x:v>62</x:v>
      </x:c>
      <x:c r="E25" s="56"/>
      <x:c r="F25" s="56"/>
      <x:c r="G25" s="57"/>
      <x:c r="H25" s="1"/>
      <x:c r="I25" s="4"/>
      <x:c r="J25" s="55" t="s">
        <x:v>62</x:v>
      </x:c>
      <x:c r="K25" s="56"/>
      <x:c r="L25" s="56"/>
      <x:c r="M25" s="57"/>
      <x:c r="N25" s="21"/>
      <x:c r="O25" s="17" t="s">
        <x:v>20</x:v>
      </x:c>
      <x:c r="P25" s="17" t="s">
        <x:v>56</x:v>
      </x:c>
      <x:c r="Q25" s="17" t="s">
        <x:v>54</x:v>
      </x:c>
      <x:c r="R25" s="17" t="s">
        <x:v>68</x:v>
      </x:c>
      <x:c r="S25" s="17" t="s">
        <x:v>53</x:v>
      </x:c>
      <x:c r="T25" s="17" t="s">
        <x:v>63</x:v>
      </x:c>
    </x:row>
    <x:row r="26" spans="1:20" ht="16.5" customHeight="1">
      <x:c r="A26" s="1"/>
      <x:c r="B26" s="53"/>
      <x:c r="C26" s="6" t="s">
        <x:v>12</x:v>
      </x:c>
      <x:c r="D26" s="7" t="s">
        <x:v>5</x:v>
      </x:c>
      <x:c r="E26" s="8" t="s">
        <x:v>40</x:v>
      </x:c>
      <x:c r="F26" s="8" t="s">
        <x:v>36</x:v>
      </x:c>
      <x:c r="G26" s="8" t="s">
        <x:v>35</x:v>
      </x:c>
      <x:c r="H26" s="1"/>
      <x:c r="I26" s="22" t="s">
        <x:v>12</x:v>
      </x:c>
      <x:c r="J26" s="7" t="s">
        <x:v>5</x:v>
      </x:c>
      <x:c r="K26" s="8" t="s">
        <x:v>40</x:v>
      </x:c>
      <x:c r="L26" s="8" t="s">
        <x:v>36</x:v>
      </x:c>
      <x:c r="M26" s="10" t="s">
        <x:v>35</x:v>
      </x:c>
      <x:c r="N26" s="21"/>
      <x:c r="O26" s="17">
        <x:v>1</x:v>
      </x:c>
      <x:c r="P26" s="17" t="s">
        <x:v>51</x:v>
      </x:c>
      <x:c r="Q26" s="17" t="s">
        <x:v>60</x:v>
      </x:c>
      <x:c r="R26" s="17" t="s">
        <x:v>23</x:v>
      </x:c>
      <x:c r="S26" s="17" t="s">
        <x:v>0</x:v>
      </x:c>
      <x:c r="T26" s="23" t="s">
        <x:v>33</x:v>
      </x:c>
    </x:row>
    <x:row r="27" spans="1:20" ht="16.5" customHeight="1">
      <x:c r="A27" s="1"/>
      <x:c r="B27" s="53"/>
      <x:c r="C27" s="11" t="s">
        <x:v>77</x:v>
      </x:c>
      <x:c r="D27" s="12">
        <x:f t="shared" ref="D27:G27" si="24">D7/720</x:f>
        <x:v>9722.2222222222226</x:v>
      </x:c>
      <x:c r="E27" s="12">
        <x:f t="shared" si="24"/>
        <x:v>8263.8888888888887</x:v>
      </x:c>
      <x:c r="F27" s="12">
        <x:f t="shared" si="24"/>
        <x:v>6805.5555555555557</x:v>
      </x:c>
      <x:c r="G27" s="12">
        <x:f t="shared" si="24"/>
        <x:v>4861.1111111111113</x:v>
      </x:c>
      <x:c r="H27" s="1"/>
      <x:c r="I27" s="11" t="s">
        <x:v>77</x:v>
      </x:c>
      <x:c r="J27" s="13">
        <x:f t="shared" ref="J27:M27" si="25">D27/$D$3</x:f>
        <x:v>6.4814814814814818</x:v>
      </x:c>
      <x:c r="K27" s="13">
        <x:f t="shared" si="25"/>
        <x:v>5.5092592592592595</x:v>
      </x:c>
      <x:c r="L27" s="13">
        <x:f t="shared" si="25"/>
        <x:v>4.5370370370370372</x:v>
      </x:c>
      <x:c r="M27" s="14">
        <x:f t="shared" si="25"/>
        <x:v>3.2407407407407409</x:v>
      </x:c>
      <x:c r="N27" s="16"/>
      <x:c r="O27" s="17">
        <x:v>2</x:v>
      </x:c>
      <x:c r="P27" s="17" t="s">
        <x:v>55</x:v>
      </x:c>
      <x:c r="Q27" s="17" t="s">
        <x:v>61</x:v>
      </x:c>
      <x:c r="R27" s="17" t="s">
        <x:v>9</x:v>
      </x:c>
      <x:c r="S27" s="17" t="s">
        <x:v>21</x:v>
      </x:c>
      <x:c r="T27" s="23" t="s">
        <x:v>7</x:v>
      </x:c>
    </x:row>
    <x:row r="28" spans="1:20" ht="16.5" customHeight="1">
      <x:c r="A28" s="1"/>
      <x:c r="B28" s="53"/>
      <x:c r="C28" s="11" t="s">
        <x:v>66</x:v>
      </x:c>
      <x:c r="D28" s="12">
        <x:f t="shared" ref="D28:G28" si="26">D8/720</x:f>
        <x:v>11111.111111111111</x:v>
      </x:c>
      <x:c r="E28" s="12">
        <x:f t="shared" si="26"/>
        <x:v>9444.4444444444453</x:v>
      </x:c>
      <x:c r="F28" s="12">
        <x:f t="shared" si="26"/>
        <x:v>7777.7777777777774</x:v>
      </x:c>
      <x:c r="G28" s="12">
        <x:f t="shared" si="26"/>
        <x:v>5555.5555555555557</x:v>
      </x:c>
      <x:c r="H28" s="1"/>
      <x:c r="I28" s="11" t="s">
        <x:v>66</x:v>
      </x:c>
      <x:c r="J28" s="13">
        <x:f t="shared" ref="J28:M28" si="27">D28/$D$3</x:f>
        <x:v>7.4074074074074074</x:v>
      </x:c>
      <x:c r="K28" s="13">
        <x:f t="shared" si="27"/>
        <x:v>6.2962962962962967</x:v>
      </x:c>
      <x:c r="L28" s="13">
        <x:f t="shared" si="27"/>
        <x:v>5.1851851851851851</x:v>
      </x:c>
      <x:c r="M28" s="14">
        <x:f t="shared" si="27"/>
        <x:v>3.7037037037037037</x:v>
      </x:c>
      <x:c r="N28" s="16"/>
      <x:c r="O28" s="17">
        <x:v>3</x:v>
      </x:c>
      <x:c r="P28" s="17" t="s">
        <x:v>17</x:v>
      </x:c>
      <x:c r="Q28" s="17" t="s">
        <x:v>65</x:v>
      </x:c>
      <x:c r="R28" s="17" t="s">
        <x:v>13</x:v>
      </x:c>
      <x:c r="S28" s="17" t="s">
        <x:v>8</x:v>
      </x:c>
      <x:c r="T28" s="23" t="s">
        <x:v>45</x:v>
      </x:c>
    </x:row>
    <x:row r="29" spans="1:20" ht="16.5" customHeight="1">
      <x:c r="A29" s="1"/>
      <x:c r="B29" s="53"/>
      <x:c r="C29" s="11" t="s">
        <x:v>18</x:v>
      </x:c>
      <x:c r="D29" s="12">
        <x:f t="shared" ref="D29:G29" si="28">D9/720</x:f>
        <x:v>12694.444444444445</x:v>
      </x:c>
      <x:c r="E29" s="12">
        <x:f t="shared" si="28"/>
        <x:v>10791.666666666666</x:v>
      </x:c>
      <x:c r="F29" s="12">
        <x:f t="shared" si="28"/>
        <x:v>8888.8888888888887</x:v>
      </x:c>
      <x:c r="G29" s="12">
        <x:f t="shared" si="28"/>
        <x:v>6347.2222222222226</x:v>
      </x:c>
      <x:c r="H29" s="1"/>
      <x:c r="I29" s="11" t="s">
        <x:v>18</x:v>
      </x:c>
      <x:c r="J29" s="13">
        <x:f t="shared" ref="J29:M29" si="29">D29/$D$3</x:f>
        <x:v>8.4629629629629637</x:v>
      </x:c>
      <x:c r="K29" s="13">
        <x:f t="shared" si="29"/>
        <x:v>7.1944444444444438</x:v>
      </x:c>
      <x:c r="L29" s="13">
        <x:f t="shared" si="29"/>
        <x:v>5.9259259259259256</x:v>
      </x:c>
      <x:c r="M29" s="14">
        <x:f t="shared" si="29"/>
        <x:v>4.2314814814814818</x:v>
      </x:c>
      <x:c r="N29" s="16"/>
      <x:c r="O29" s="17">
        <x:v>4</x:v>
      </x:c>
      <x:c r="P29" s="17" t="s">
        <x:v>58</x:v>
      </x:c>
      <x:c r="Q29" s="17"/>
      <x:c r="R29" s="17"/>
      <x:c r="S29" s="17"/>
      <x:c r="T29" s="17"/>
    </x:row>
    <x:row r="30" spans="1:20" ht="16.5" customHeight="1">
      <x:c r="A30" s="1"/>
      <x:c r="B30" s="53"/>
      <x:c r="C30" s="11" t="s">
        <x:v>2</x:v>
      </x:c>
      <x:c r="D30" s="12">
        <x:f t="shared" ref="D30:G30" si="30">D10/720</x:f>
        <x:v>33055.555555555555</x:v>
      </x:c>
      <x:c r="E30" s="12">
        <x:f t="shared" si="30"/>
        <x:v>27777.777777777777</x:v>
      </x:c>
      <x:c r="F30" s="12">
        <x:f t="shared" si="30"/>
        <x:v>26388.888888888891</x:v>
      </x:c>
      <x:c r="G30" s="12">
        <x:f t="shared" si="30"/>
        <x:v>22222.222222222223</x:v>
      </x:c>
      <x:c r="H30" s="1"/>
      <x:c r="I30" s="11" t="s">
        <x:v>2</x:v>
      </x:c>
      <x:c r="J30" s="13">
        <x:f t="shared" ref="J30:M30" si="31">D30/$D$3</x:f>
        <x:v>22.037037037037038</x:v>
      </x:c>
      <x:c r="K30" s="13">
        <x:f t="shared" si="31"/>
        <x:v>18.518518518518519</x:v>
      </x:c>
      <x:c r="L30" s="13">
        <x:f t="shared" si="31"/>
        <x:v>17.592592592592595</x:v>
      </x:c>
      <x:c r="M30" s="14">
        <x:f t="shared" si="31"/>
        <x:v>14.814814814814815</x:v>
      </x:c>
      <x:c r="N30" s="16"/>
      <x:c r="O30" s="17">
        <x:v>5</x:v>
      </x:c>
      <x:c r="P30" s="17" t="s">
        <x:v>22</x:v>
      </x:c>
      <x:c r="Q30" s="17" t="s">
        <x:v>14</x:v>
      </x:c>
      <x:c r="R30" s="17"/>
      <x:c r="S30" s="17"/>
      <x:c r="T30" s="23" t="s">
        <x:v>44</x:v>
      </x:c>
    </x:row>
    <x:row r="31" spans="1:20" ht="16.5" customHeight="1">
      <x:c r="A31" s="1"/>
      <x:c r="B31" s="53"/>
      <x:c r="C31" s="11" t="s">
        <x:v>11</x:v>
      </x:c>
      <x:c r="D31" s="12">
        <x:f t="shared" ref="D31:G31" si="32">D11/720</x:f>
        <x:v>57777.777777777781</x:v>
      </x:c>
      <x:c r="E31" s="12">
        <x:f t="shared" si="32"/>
        <x:v>49111.111111111109</x:v>
      </x:c>
      <x:c r="F31" s="12">
        <x:f t="shared" si="32"/>
        <x:v>40444.444444444445</x:v>
      </x:c>
      <x:c r="G31" s="12">
        <x:f t="shared" si="32"/>
        <x:v>28888.888888888891</x:v>
      </x:c>
      <x:c r="H31" s="1"/>
      <x:c r="I31" s="11" t="s">
        <x:v>11</x:v>
      </x:c>
      <x:c r="J31" s="13">
        <x:f t="shared" ref="J31:M31" si="33">D31/$D$3</x:f>
        <x:v>38.518518518518519</x:v>
      </x:c>
      <x:c r="K31" s="13">
        <x:f t="shared" si="33"/>
        <x:v>32.74074074074074</x:v>
      </x:c>
      <x:c r="L31" s="13">
        <x:f t="shared" si="33"/>
        <x:v>26.962962962962962</x:v>
      </x:c>
      <x:c r="M31" s="14">
        <x:f t="shared" si="33"/>
        <x:v>19.25925925925926</x:v>
      </x:c>
      <x:c r="N31" s="16"/>
      <x:c r="O31" s="17">
        <x:v>6</x:v>
      </x:c>
      <x:c r="P31" s="17" t="s">
        <x:v>59</x:v>
      </x:c>
      <x:c r="Q31" s="17" t="s">
        <x:v>46</x:v>
      </x:c>
      <x:c r="R31" s="17"/>
      <x:c r="S31" s="17"/>
      <x:c r="T31" s="23" t="s">
        <x:v>30</x:v>
      </x:c>
    </x:row>
    <x:row r="32" spans="1:20" ht="16.5" customHeight="1">
      <x:c r="A32" s="1"/>
      <x:c r="B32" s="53"/>
      <x:c r="C32" s="11" t="s">
        <x:v>6</x:v>
      </x:c>
      <x:c r="D32" s="12">
        <x:f t="shared" ref="D32:G32" si="34">D12/720</x:f>
        <x:v>59722.222222222219</x:v>
      </x:c>
      <x:c r="E32" s="12">
        <x:f t="shared" si="34"/>
        <x:v>54166.666666666664</x:v>
      </x:c>
      <x:c r="F32" s="12">
        <x:f t="shared" si="34"/>
        <x:v>56000</x:v>
      </x:c>
      <x:c r="G32" s="12">
        <x:f t="shared" si="34"/>
        <x:v>45833.333333333336</x:v>
      </x:c>
      <x:c r="H32" s="1"/>
      <x:c r="I32" s="11" t="s">
        <x:v>6</x:v>
      </x:c>
      <x:c r="J32" s="13">
        <x:f t="shared" ref="J32:L32" si="35">D32/$D$3</x:f>
        <x:v>39.81481481481481</x:v>
      </x:c>
      <x:c r="K32" s="13">
        <x:f t="shared" si="35"/>
        <x:v>36.111111111111107</x:v>
      </x:c>
      <x:c r="L32" s="13">
        <x:f t="shared" si="35"/>
        <x:v>37.333333333333336</x:v>
      </x:c>
      <x:c r="M32" s="14">
        <x:v>44</x:v>
      </x:c>
      <x:c r="N32" s="16"/>
      <x:c r="O32" s="17">
        <x:v>7</x:v>
      </x:c>
      <x:c r="P32" s="17" t="s">
        <x:v>57</x:v>
      </x:c>
      <x:c r="Q32" s="17" t="s">
        <x:v>76</x:v>
      </x:c>
      <x:c r="R32" s="17" t="s">
        <x:v>73</x:v>
      </x:c>
      <x:c r="S32" s="17"/>
      <x:c r="T32" s="17"/>
    </x:row>
    <x:row r="33" spans="1:20" ht="16.5" customHeight="1">
      <x:c r="A33" s="1"/>
      <x:c r="B33" s="54"/>
      <x:c r="C33" s="11" t="s">
        <x:v>19</x:v>
      </x:c>
      <x:c r="D33" s="12">
        <x:f t="shared" ref="D33:G33" si="36">D13/720</x:f>
        <x:v>111111.11111111111</x:v>
      </x:c>
      <x:c r="E33" s="12">
        <x:f t="shared" si="36"/>
        <x:v>94444.444444444438</x:v>
      </x:c>
      <x:c r="F33" s="12">
        <x:f t="shared" si="36"/>
        <x:v>77777.777777777781</x:v>
      </x:c>
      <x:c r="G33" s="12">
        <x:f t="shared" si="36"/>
        <x:v>55555.555555555555</x:v>
      </x:c>
      <x:c r="H33" s="1"/>
      <x:c r="I33" s="11" t="s">
        <x:v>19</x:v>
      </x:c>
      <x:c r="J33" s="13">
        <x:f t="shared" ref="J33:M33" si="37">D33/$D$3</x:f>
        <x:v>74.074074074074076</x:v>
      </x:c>
      <x:c r="K33" s="13">
        <x:f t="shared" si="37"/>
        <x:v>62.962962962962962</x:v>
      </x:c>
      <x:c r="L33" s="13">
        <x:f t="shared" si="37"/>
        <x:v>51.851851851851855</x:v>
      </x:c>
      <x:c r="M33" s="14">
        <x:f t="shared" si="37"/>
        <x:v>37.037037037037038</x:v>
      </x:c>
      <x:c r="N33" s="16"/>
      <x:c r="O33" s="17">
        <x:v>8</x:v>
      </x:c>
      <x:c r="P33" s="17" t="s">
        <x:v>15</x:v>
      </x:c>
      <x:c r="Q33" s="17" t="s">
        <x:v>16</x:v>
      </x:c>
      <x:c r="R33" s="17" t="s">
        <x:v>4</x:v>
      </x:c>
      <x:c r="S33" s="17"/>
      <x:c r="T33" s="23" t="s">
        <x:v>43</x:v>
      </x:c>
    </x:row>
    <x:row r="34" spans="1:20" ht="16.5" customHeight="1">
      <x:c r="A34" s="1"/>
      <x:c r="B34" s="16"/>
      <x:c r="C34" s="17"/>
      <x:c r="D34" s="16"/>
      <x:c r="E34" s="16"/>
      <x:c r="F34" s="16"/>
      <x:c r="G34" s="16"/>
      <x:c r="H34" s="1"/>
      <x:c r="I34" s="17"/>
      <x:c r="J34" s="18"/>
      <x:c r="K34" s="18"/>
      <x:c r="L34" s="18"/>
      <x:c r="M34" s="19"/>
      <x:c r="N34" s="16"/>
      <x:c r="O34" s="17">
        <x:v>9</x:v>
      </x:c>
      <x:c r="P34" s="24" t="s">
        <x:v>1</x:v>
      </x:c>
      <x:c r="Q34" s="17" t="s">
        <x:v>3</x:v>
      </x:c>
      <x:c r="R34" s="17" t="s">
        <x:v>48</x:v>
      </x:c>
      <x:c r="S34" s="17"/>
      <x:c r="T34" s="23" t="s">
        <x:v>41</x:v>
      </x:c>
    </x:row>
    <x:row r="35" spans="1:20" ht="16.5" customHeight="1">
      <x:c r="A35" s="1"/>
      <x:c r="B35" s="68" t="s">
        <x:v>42</x:v>
      </x:c>
      <x:c r="C35" s="4"/>
      <x:c r="D35" s="55" t="s">
        <x:v>62</x:v>
      </x:c>
      <x:c r="E35" s="56"/>
      <x:c r="F35" s="56"/>
      <x:c r="G35" s="57"/>
      <x:c r="H35" s="1"/>
      <x:c r="I35" s="4"/>
      <x:c r="J35" s="55" t="s">
        <x:v>62</x:v>
      </x:c>
      <x:c r="K35" s="56"/>
      <x:c r="L35" s="56"/>
      <x:c r="M35" s="57"/>
      <x:c r="N35" s="16"/>
      <x:c r="O35" s="17">
        <x:v>10</x:v>
      </x:c>
      <x:c r="P35" s="17" t="s">
        <x:v>25</x:v>
      </x:c>
      <x:c r="Q35" s="17"/>
      <x:c r="R35" s="17"/>
      <x:c r="S35" s="17"/>
      <x:c r="T35" s="17"/>
    </x:row>
    <x:row r="36" spans="1:20" ht="16.5" customHeight="1">
      <x:c r="A36" s="1"/>
      <x:c r="B36" s="53"/>
      <x:c r="C36" s="6" t="s">
        <x:v>10</x:v>
      </x:c>
      <x:c r="D36" s="7" t="s">
        <x:v>5</x:v>
      </x:c>
      <x:c r="E36" s="8" t="s">
        <x:v>40</x:v>
      </x:c>
      <x:c r="F36" s="8" t="s">
        <x:v>36</x:v>
      </x:c>
      <x:c r="G36" s="8" t="s">
        <x:v>35</x:v>
      </x:c>
      <x:c r="H36" s="1"/>
      <x:c r="I36" s="25" t="s">
        <x:v>10</x:v>
      </x:c>
      <x:c r="J36" s="7" t="s">
        <x:v>5</x:v>
      </x:c>
      <x:c r="K36" s="8" t="s">
        <x:v>40</x:v>
      </x:c>
      <x:c r="L36" s="8" t="s">
        <x:v>36</x:v>
      </x:c>
      <x:c r="M36" s="10" t="s">
        <x:v>35</x:v>
      </x:c>
      <x:c r="N36" s="16"/>
      <x:c r="O36" s="17"/>
      <x:c r="P36" s="17"/>
      <x:c r="Q36" s="17"/>
      <x:c r="R36" s="17"/>
      <x:c r="S36" s="17"/>
      <x:c r="T36" s="23"/>
    </x:row>
    <x:row r="37" spans="1:20" ht="16.5" customHeight="1">
      <x:c r="A37" s="1"/>
      <x:c r="B37" s="53"/>
      <x:c r="C37" s="11" t="s">
        <x:v>77</x:v>
      </x:c>
      <x:c r="D37" s="12">
        <x:f t="shared" ref="D37:G37" si="38">D27/8</x:f>
        <x:v>1215.2777777777778</x:v>
      </x:c>
      <x:c r="E37" s="12">
        <x:f t="shared" si="38"/>
        <x:v>1032.9861111111111</x:v>
      </x:c>
      <x:c r="F37" s="12">
        <x:f t="shared" si="38"/>
        <x:v>850.69444444444446</x:v>
      </x:c>
      <x:c r="G37" s="12">
        <x:f t="shared" si="38"/>
        <x:v>607.63888888888891</x:v>
      </x:c>
      <x:c r="H37" s="1"/>
      <x:c r="I37" s="11" t="s">
        <x:v>77</x:v>
      </x:c>
      <x:c r="J37" s="13">
        <x:f t="shared" ref="J37:M37" si="39">D37/$D$3</x:f>
        <x:v>0.81018518518518523</x:v>
      </x:c>
      <x:c r="K37" s="13">
        <x:f t="shared" si="39"/>
        <x:v>0.68865740740740744</x:v>
      </x:c>
      <x:c r="L37" s="13">
        <x:f t="shared" si="39"/>
        <x:v>0.56712962962962965</x:v>
      </x:c>
      <x:c r="M37" s="14">
        <x:f t="shared" si="39"/>
        <x:v>0.40509259259259262</x:v>
      </x:c>
      <x:c r="N37" s="16"/>
      <x:c r="O37" s="17"/>
      <x:c r="P37" s="17"/>
      <x:c r="Q37" s="17"/>
      <x:c r="R37" s="17"/>
      <x:c r="S37" s="17"/>
      <x:c r="T37" s="23"/>
    </x:row>
    <x:row r="38" spans="1:20" ht="16.5" customHeight="1">
      <x:c r="A38" s="1"/>
      <x:c r="B38" s="53"/>
      <x:c r="C38" s="11" t="s">
        <x:v>66</x:v>
      </x:c>
      <x:c r="D38" s="12">
        <x:f t="shared" ref="D38:G38" si="40">D28/8</x:f>
        <x:v>1388.8888888888889</x:v>
      </x:c>
      <x:c r="E38" s="12">
        <x:f t="shared" si="40"/>
        <x:v>1180.5555555555557</x:v>
      </x:c>
      <x:c r="F38" s="12">
        <x:f t="shared" si="40"/>
        <x:v>972.22222222222217</x:v>
      </x:c>
      <x:c r="G38" s="12">
        <x:f t="shared" si="40"/>
        <x:v>694.44444444444446</x:v>
      </x:c>
      <x:c r="H38" s="1"/>
      <x:c r="I38" s="11" t="s">
        <x:v>66</x:v>
      </x:c>
      <x:c r="J38" s="13">
        <x:f t="shared" ref="J38:M38" si="41">D38/$D$3</x:f>
        <x:v>0.92592592592592593</x:v>
      </x:c>
      <x:c r="K38" s="13">
        <x:f t="shared" si="41"/>
        <x:v>0.78703703703703709</x:v>
      </x:c>
      <x:c r="L38" s="13">
        <x:f t="shared" si="41"/>
        <x:v>0.64814814814814814</x:v>
      </x:c>
      <x:c r="M38" s="14">
        <x:f t="shared" si="41"/>
        <x:v>0.46296296296296297</x:v>
      </x:c>
      <x:c r="N38" s="16"/>
      <x:c r="O38" s="17"/>
      <x:c r="P38" s="17"/>
      <x:c r="Q38" s="17"/>
      <x:c r="R38" s="17"/>
      <x:c r="S38" s="17"/>
      <x:c r="T38" s="23"/>
    </x:row>
    <x:row r="39" spans="1:20" ht="16.5" customHeight="1">
      <x:c r="A39" s="1"/>
      <x:c r="B39" s="53"/>
      <x:c r="C39" s="11" t="s">
        <x:v>18</x:v>
      </x:c>
      <x:c r="D39" s="12">
        <x:f t="shared" ref="D39:G39" si="42">D29/8</x:f>
        <x:v>1586.8055555555557</x:v>
      </x:c>
      <x:c r="E39" s="12">
        <x:f t="shared" si="42"/>
        <x:v>1348.9583333333333</x:v>
      </x:c>
      <x:c r="F39" s="12">
        <x:f t="shared" si="42"/>
        <x:v>1111.1111111111111</x:v>
      </x:c>
      <x:c r="G39" s="12">
        <x:f t="shared" si="42"/>
        <x:v>793.40277777777783</x:v>
      </x:c>
      <x:c r="H39" s="1"/>
      <x:c r="I39" s="11" t="s">
        <x:v>18</x:v>
      </x:c>
      <x:c r="J39" s="13">
        <x:f t="shared" ref="J39:M39" si="43">D39/$D$3</x:f>
        <x:v>1.0578703703703705</x:v>
      </x:c>
      <x:c r="K39" s="13">
        <x:f t="shared" si="43"/>
        <x:v>0.89930555555555547</x:v>
      </x:c>
      <x:c r="L39" s="13">
        <x:f t="shared" si="43"/>
        <x:v>0.7407407407407407</x:v>
      </x:c>
      <x:c r="M39" s="14">
        <x:f t="shared" si="43"/>
        <x:v>0.52893518518518523</x:v>
      </x:c>
      <x:c r="N39" s="16"/>
      <x:c r="O39" s="17"/>
      <x:c r="P39" s="17"/>
      <x:c r="Q39" s="17"/>
      <x:c r="R39" s="17"/>
      <x:c r="S39" s="17"/>
      <x:c r="T39" s="23"/>
    </x:row>
    <x:row r="40" spans="1:20" ht="16.5" customHeight="1">
      <x:c r="A40" s="1"/>
      <x:c r="B40" s="53"/>
      <x:c r="C40" s="11" t="s">
        <x:v>2</x:v>
      </x:c>
      <x:c r="D40" s="12">
        <x:f t="shared" ref="D40:G40" si="44">D30/8</x:f>
        <x:v>4131.9444444444443</x:v>
      </x:c>
      <x:c r="E40" s="12">
        <x:f t="shared" si="44"/>
        <x:v>3472.2222222222222</x:v>
      </x:c>
      <x:c r="F40" s="12">
        <x:f t="shared" si="44"/>
        <x:v>3298.6111111111113</x:v>
      </x:c>
      <x:c r="G40" s="12">
        <x:f t="shared" si="44"/>
        <x:v>2777.7777777777778</x:v>
      </x:c>
      <x:c r="H40" s="1"/>
      <x:c r="I40" s="11" t="s">
        <x:v>2</x:v>
      </x:c>
      <x:c r="J40" s="13">
        <x:f t="shared" ref="J40:M40" si="45">D40/$D$3</x:f>
        <x:v>2.7546296296296298</x:v>
      </x:c>
      <x:c r="K40" s="13">
        <x:f t="shared" si="45"/>
        <x:v>2.3148148148148149</x:v>
      </x:c>
      <x:c r="L40" s="13">
        <x:f t="shared" si="45"/>
        <x:v>2.1990740740740744</x:v>
      </x:c>
      <x:c r="M40" s="14">
        <x:f t="shared" si="45"/>
        <x:v>1.8518518518518519</x:v>
      </x:c>
      <x:c r="N40" s="16"/>
      <x:c r="O40" s="17"/>
      <x:c r="P40" s="17"/>
      <x:c r="Q40" s="17"/>
      <x:c r="R40" s="17"/>
      <x:c r="S40" s="17"/>
      <x:c r="T40" s="23"/>
    </x:row>
    <x:row r="41" spans="1:20" ht="16.5" customHeight="1">
      <x:c r="A41" s="1"/>
      <x:c r="B41" s="53"/>
      <x:c r="C41" s="11" t="s">
        <x:v>11</x:v>
      </x:c>
      <x:c r="D41" s="12">
        <x:f t="shared" ref="D41:G41" si="46">D31/8</x:f>
        <x:v>7222.2222222222226</x:v>
      </x:c>
      <x:c r="E41" s="12">
        <x:f t="shared" si="46"/>
        <x:v>6138.8888888888887</x:v>
      </x:c>
      <x:c r="F41" s="12">
        <x:f t="shared" si="46"/>
        <x:v>5055.5555555555557</x:v>
      </x:c>
      <x:c r="G41" s="12">
        <x:f t="shared" si="46"/>
        <x:v>3611.1111111111113</x:v>
      </x:c>
      <x:c r="H41" s="1"/>
      <x:c r="I41" s="11" t="s">
        <x:v>11</x:v>
      </x:c>
      <x:c r="J41" s="13">
        <x:f t="shared" ref="J41:M41" si="47">D41/$D$3</x:f>
        <x:v>4.8148148148148149</x:v>
      </x:c>
      <x:c r="K41" s="13">
        <x:f t="shared" si="47"/>
        <x:v>4.0925925925925926</x:v>
      </x:c>
      <x:c r="L41" s="13">
        <x:f t="shared" si="47"/>
        <x:v>3.3703703703703702</x:v>
      </x:c>
      <x:c r="M41" s="14">
        <x:f t="shared" si="47"/>
        <x:v>2.4074074074074074</x:v>
      </x:c>
      <x:c r="N41" s="16"/>
      <x:c r="O41" s="17"/>
      <x:c r="P41" s="17"/>
      <x:c r="Q41" s="17"/>
      <x:c r="R41" s="17"/>
      <x:c r="S41" s="17"/>
      <x:c r="T41" s="23"/>
    </x:row>
    <x:row r="42" spans="1:20" ht="16.5" customHeight="1">
      <x:c r="A42" s="1"/>
      <x:c r="B42" s="53"/>
      <x:c r="C42" s="11" t="s">
        <x:v>6</x:v>
      </x:c>
      <x:c r="D42" s="12">
        <x:f t="shared" ref="D42:G42" si="48">D32/8</x:f>
        <x:v>7465.2777777777774</x:v>
      </x:c>
      <x:c r="E42" s="12">
        <x:f t="shared" si="48"/>
        <x:v>6770.833333333333</x:v>
      </x:c>
      <x:c r="F42" s="12">
        <x:f t="shared" si="48"/>
        <x:v>7000</x:v>
      </x:c>
      <x:c r="G42" s="12">
        <x:f t="shared" si="48"/>
        <x:v>5729.166666666667</x:v>
      </x:c>
      <x:c r="H42" s="1"/>
      <x:c r="I42" s="11" t="s">
        <x:v>6</x:v>
      </x:c>
      <x:c r="J42" s="13">
        <x:f t="shared" ref="J42:M42" si="49">D42/$D$3</x:f>
        <x:v>4.9768518518518512</x:v>
      </x:c>
      <x:c r="K42" s="13">
        <x:f t="shared" si="49"/>
        <x:v>4.5138888888888884</x:v>
      </x:c>
      <x:c r="L42" s="13">
        <x:f t="shared" si="49"/>
        <x:v>4.666666666666667</x:v>
      </x:c>
      <x:c r="M42" s="14">
        <x:f t="shared" si="49"/>
        <x:v>3.8194444444444446</x:v>
      </x:c>
      <x:c r="N42" s="16"/>
      <x:c r="O42" s="17"/>
      <x:c r="P42" s="17"/>
      <x:c r="Q42" s="17"/>
      <x:c r="R42" s="17"/>
      <x:c r="S42" s="17"/>
      <x:c r="T42" s="23"/>
    </x:row>
    <x:row r="43" spans="1:20" ht="16.5" customHeight="1">
      <x:c r="A43" s="1"/>
      <x:c r="B43" s="54"/>
      <x:c r="C43" s="11" t="s">
        <x:v>19</x:v>
      </x:c>
      <x:c r="D43" s="12">
        <x:f t="shared" ref="D43:G43" si="50">D33/8</x:f>
        <x:v>13888.888888888889</x:v>
      </x:c>
      <x:c r="E43" s="12">
        <x:f t="shared" si="50"/>
        <x:v>11805.555555555555</x:v>
      </x:c>
      <x:c r="F43" s="12">
        <x:f t="shared" si="50"/>
        <x:v>9722.2222222222226</x:v>
      </x:c>
      <x:c r="G43" s="12">
        <x:f t="shared" si="50"/>
        <x:v>6944.4444444444443</x:v>
      </x:c>
      <x:c r="H43" s="1"/>
      <x:c r="I43" s="11" t="s">
        <x:v>19</x:v>
      </x:c>
      <x:c r="J43" s="13">
        <x:f t="shared" ref="J43:M43" si="51">D43/$D$3</x:f>
        <x:v>9.2592592592592595</x:v>
      </x:c>
      <x:c r="K43" s="13">
        <x:f t="shared" si="51"/>
        <x:v>7.8703703703703702</x:v>
      </x:c>
      <x:c r="L43" s="13">
        <x:f t="shared" si="51"/>
        <x:v>6.4814814814814818</x:v>
      </x:c>
      <x:c r="M43" s="14">
        <x:f t="shared" si="51"/>
        <x:v>4.6296296296296298</x:v>
      </x:c>
      <x:c r="N43" s="16"/>
      <x:c r="O43" s="17"/>
      <x:c r="P43" s="17"/>
      <x:c r="Q43" s="17"/>
      <x:c r="R43" s="17"/>
      <x:c r="S43" s="17"/>
      <x:c r="T43" s="23"/>
    </x:row>
    <x:row r="44" spans="1:20" ht="16.5" customHeight="1">
      <x:c r="A44" s="1"/>
      <x:c r="B44" s="16"/>
      <x:c r="C44" s="17"/>
      <x:c r="D44" s="16"/>
      <x:c r="E44" s="16"/>
      <x:c r="F44" s="16"/>
      <x:c r="G44" s="16"/>
      <x:c r="H44" s="1"/>
      <x:c r="I44" s="17"/>
      <x:c r="J44" s="18"/>
      <x:c r="K44" s="18"/>
      <x:c r="L44" s="18"/>
      <x:c r="M44" s="19"/>
      <x:c r="N44" s="16"/>
      <x:c r="O44" s="17"/>
      <x:c r="P44" s="17"/>
      <x:c r="Q44" s="17"/>
      <x:c r="R44" s="17"/>
      <x:c r="S44" s="17"/>
      <x:c r="T44" s="23"/>
    </x:row>
    <x:row r="45" spans="1:20" ht="16.5" customHeight="1">
      <x:c r="A45" s="1"/>
      <x:c r="B45" s="16"/>
      <x:c r="C45" s="17"/>
      <x:c r="D45" s="16"/>
      <x:c r="E45" s="16"/>
      <x:c r="F45" s="16"/>
      <x:c r="G45" s="16"/>
      <x:c r="H45" s="1"/>
      <x:c r="I45" s="17"/>
      <x:c r="J45" s="18"/>
      <x:c r="K45" s="18"/>
      <x:c r="L45" s="18"/>
      <x:c r="M45" s="19"/>
      <x:c r="N45" s="16"/>
      <x:c r="O45" s="17"/>
      <x:c r="P45" s="17"/>
      <x:c r="Q45" s="17"/>
      <x:c r="R45" s="17"/>
      <x:c r="S45" s="17"/>
      <x:c r="T45" s="23"/>
    </x:row>
    <x:row r="46" spans="1:20" ht="16.5" customHeight="1">
      <x:c r="A46" s="1"/>
      <x:c r="B46" s="16"/>
      <x:c r="C46" s="17"/>
      <x:c r="D46" s="16"/>
      <x:c r="E46" s="16"/>
      <x:c r="F46" s="16"/>
      <x:c r="G46" s="16"/>
      <x:c r="H46" s="1"/>
      <x:c r="I46" s="17"/>
      <x:c r="J46" s="18"/>
      <x:c r="K46" s="18"/>
      <x:c r="L46" s="18"/>
      <x:c r="M46" s="19"/>
      <x:c r="N46" s="16"/>
      <x:c r="O46" s="17"/>
      <x:c r="P46" s="17"/>
      <x:c r="Q46" s="17"/>
      <x:c r="R46" s="17"/>
      <x:c r="S46" s="17"/>
      <x:c r="T46" s="23"/>
    </x:row>
    <x:row r="47" spans="1:17" ht="16.5" customHeight="1">
      <x:c r="A47" s="1"/>
      <x:c r="B47" s="16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2"/>
      <x:c r="N47" s="1"/>
      <x:c r="O47" s="1"/>
      <x:c r="P47" s="1"/>
      <x:c r="Q47" s="1"/>
    </x:row>
    <x:row r="48" spans="1:17" ht="16.5" customHeight="1">
      <x:c r="A48" s="1"/>
      <x:c r="B48" s="52" t="s">
        <x:v>51</x:v>
      </x:c>
      <x:c r="C48" s="4"/>
      <x:c r="D48" s="55" t="s">
        <x:v>62</x:v>
      </x:c>
      <x:c r="E48" s="56"/>
      <x:c r="F48" s="56"/>
      <x:c r="G48" s="57"/>
      <x:c r="H48" s="1"/>
      <x:c r="I48" s="1"/>
      <x:c r="J48" s="1"/>
      <x:c r="K48" s="1"/>
      <x:c r="L48" s="1"/>
      <x:c r="M48" s="2"/>
      <x:c r="N48" s="1"/>
      <x:c r="O48" s="1"/>
      <x:c r="P48" s="1"/>
      <x:c r="Q48" s="1"/>
    </x:row>
    <x:row r="49" spans="1:17" ht="16.5" customHeight="1">
      <x:c r="A49" s="1"/>
      <x:c r="B49" s="53"/>
      <x:c r="C49" s="4" t="s">
        <x:v>12</x:v>
      </x:c>
      <x:c r="D49" s="27" t="s">
        <x:v>5</x:v>
      </x:c>
      <x:c r="E49" s="28" t="s">
        <x:v>40</x:v>
      </x:c>
      <x:c r="F49" s="28" t="s">
        <x:v>36</x:v>
      </x:c>
      <x:c r="G49" s="28" t="s">
        <x:v>35</x:v>
      </x:c>
      <x:c r="H49" s="29" t="s">
        <x:v>74</x:v>
      </x:c>
      <x:c r="I49" s="30" t="s">
        <x:v>69</x:v>
      </x:c>
      <x:c r="J49" s="30" t="s">
        <x:v>49</x:v>
      </x:c>
      <x:c r="K49" s="1"/>
      <x:c r="L49" s="1"/>
      <x:c r="M49" s="2"/>
      <x:c r="N49" s="1"/>
      <x:c r="O49" s="1"/>
      <x:c r="P49" s="1"/>
      <x:c r="Q49" s="1"/>
    </x:row>
    <x:row r="50" spans="1:17" ht="16.5" customHeight="1">
      <x:c r="A50" s="1"/>
      <x:c r="B50" s="53"/>
      <x:c r="C50" s="4" t="s">
        <x:v>18</x:v>
      </x:c>
      <x:c r="D50" s="31"/>
      <x:c r="E50" s="32"/>
      <x:c r="F50" s="32"/>
      <x:c r="G50" s="33"/>
      <x:c r="H50" s="52"/>
      <x:c r="I50" s="34"/>
      <x:c r="J50" s="30"/>
      <x:c r="K50" s="1"/>
      <x:c r="L50" s="1"/>
      <x:c r="M50" s="2"/>
      <x:c r="N50" s="1"/>
      <x:c r="O50" s="1"/>
      <x:c r="P50" s="1"/>
      <x:c r="Q50" s="1"/>
    </x:row>
    <x:row r="51" spans="1:17" ht="16.5" customHeight="1">
      <x:c r="A51" s="1"/>
      <x:c r="B51" s="53"/>
      <x:c r="C51" s="4" t="s">
        <x:v>2</x:v>
      </x:c>
      <x:c r="D51" s="31"/>
      <x:c r="E51" s="32"/>
      <x:c r="F51" s="32"/>
      <x:c r="G51" s="33"/>
      <x:c r="H51" s="53"/>
      <x:c r="I51" s="34"/>
      <x:c r="J51" s="30"/>
      <x:c r="K51" s="1"/>
      <x:c r="L51" s="1"/>
      <x:c r="M51" s="2"/>
      <x:c r="N51" s="1"/>
      <x:c r="O51" s="1"/>
      <x:c r="P51" s="1"/>
      <x:c r="Q51" s="1"/>
    </x:row>
    <x:row r="52" spans="1:17" ht="16.5" customHeight="1">
      <x:c r="A52" s="1"/>
      <x:c r="B52" s="53"/>
      <x:c r="C52" s="4" t="s">
        <x:v>11</x:v>
      </x:c>
      <x:c r="D52" s="31"/>
      <x:c r="E52" s="32"/>
      <x:c r="F52" s="32"/>
      <x:c r="G52" s="33"/>
      <x:c r="H52" s="53"/>
      <x:c r="I52" s="34"/>
      <x:c r="J52" s="30"/>
      <x:c r="K52" s="1"/>
      <x:c r="L52" s="1"/>
      <x:c r="M52" s="2"/>
      <x:c r="N52" s="1"/>
      <x:c r="O52" s="1"/>
      <x:c r="P52" s="1"/>
      <x:c r="Q52" s="1"/>
    </x:row>
    <x:row r="53" spans="1:17" ht="16.5" customHeight="1">
      <x:c r="A53" s="1"/>
      <x:c r="B53" s="53"/>
      <x:c r="C53" s="4" t="s">
        <x:v>6</x:v>
      </x:c>
      <x:c r="D53" s="31"/>
      <x:c r="E53" s="32"/>
      <x:c r="F53" s="32"/>
      <x:c r="G53" s="33"/>
      <x:c r="H53" s="53"/>
      <x:c r="I53" s="34"/>
      <x:c r="J53" s="30"/>
      <x:c r="K53" s="1"/>
      <x:c r="L53" s="1"/>
      <x:c r="M53" s="2"/>
      <x:c r="N53" s="1"/>
      <x:c r="O53" s="1"/>
      <x:c r="P53" s="1"/>
      <x:c r="Q53" s="1"/>
    </x:row>
    <x:row r="54" spans="1:17" ht="16.5" customHeight="1">
      <x:c r="A54" s="1"/>
      <x:c r="B54" s="54"/>
      <x:c r="C54" s="4" t="s">
        <x:v>19</x:v>
      </x:c>
      <x:c r="D54" s="31"/>
      <x:c r="E54" s="32"/>
      <x:c r="F54" s="32"/>
      <x:c r="G54" s="33"/>
      <x:c r="H54" s="54"/>
      <x:c r="I54" s="34"/>
      <x:c r="J54" s="30"/>
      <x:c r="K54" s="1"/>
      <x:c r="L54" s="1"/>
      <x:c r="M54" s="2"/>
      <x:c r="N54" s="1"/>
      <x:c r="O54" s="1"/>
      <x:c r="P54" s="1"/>
      <x:c r="Q54" s="1"/>
    </x:row>
    <x:row r="55" spans="1:17" ht="16.5" customHeight="1">
      <x:c r="A55" s="1"/>
      <x:c r="B55" s="52" t="s">
        <x:v>55</x:v>
      </x:c>
      <x:c r="C55" s="4"/>
      <x:c r="D55" s="55" t="s">
        <x:v>62</x:v>
      </x:c>
      <x:c r="E55" s="56"/>
      <x:c r="F55" s="56"/>
      <x:c r="G55" s="57"/>
      <x:c r="H55" s="1"/>
      <x:c r="I55" s="1"/>
      <x:c r="J55" s="1"/>
      <x:c r="K55" s="1"/>
      <x:c r="L55" s="1"/>
      <x:c r="M55" s="2"/>
      <x:c r="N55" s="1"/>
      <x:c r="O55" s="1"/>
      <x:c r="P55" s="1"/>
      <x:c r="Q55" s="1"/>
    </x:row>
    <x:row r="56" spans="1:17" ht="16.5" customHeight="1">
      <x:c r="A56" s="1"/>
      <x:c r="B56" s="53"/>
      <x:c r="C56" s="4" t="s">
        <x:v>12</x:v>
      </x:c>
      <x:c r="D56" s="27" t="s">
        <x:v>5</x:v>
      </x:c>
      <x:c r="E56" s="28" t="s">
        <x:v>40</x:v>
      </x:c>
      <x:c r="F56" s="28" t="s">
        <x:v>36</x:v>
      </x:c>
      <x:c r="G56" s="28" t="s">
        <x:v>35</x:v>
      </x:c>
      <x:c r="H56" s="29" t="s">
        <x:v>74</x:v>
      </x:c>
      <x:c r="I56" s="30" t="s">
        <x:v>69</x:v>
      </x:c>
      <x:c r="J56" s="30" t="s">
        <x:v>49</x:v>
      </x:c>
      <x:c r="K56" s="1"/>
      <x:c r="L56" s="1"/>
      <x:c r="M56" s="2"/>
      <x:c r="N56" s="1"/>
      <x:c r="O56" s="1"/>
      <x:c r="P56" s="1"/>
      <x:c r="Q56" s="1"/>
    </x:row>
    <x:row r="57" spans="1:17" ht="16.5" customHeight="1">
      <x:c r="A57" s="1"/>
      <x:c r="B57" s="53"/>
      <x:c r="C57" s="4" t="s">
        <x:v>18</x:v>
      </x:c>
      <x:c r="D57" s="31"/>
      <x:c r="E57" s="32"/>
      <x:c r="F57" s="32"/>
      <x:c r="G57" s="33"/>
      <x:c r="H57" s="52"/>
      <x:c r="I57" s="34"/>
      <x:c r="J57" s="30"/>
      <x:c r="K57" s="1"/>
      <x:c r="L57" s="1"/>
      <x:c r="M57" s="2"/>
      <x:c r="N57" s="1"/>
      <x:c r="O57" s="1"/>
      <x:c r="P57" s="1"/>
      <x:c r="Q57" s="1"/>
    </x:row>
    <x:row r="58" spans="1:17" ht="16.5" customHeight="1">
      <x:c r="A58" s="1"/>
      <x:c r="B58" s="53"/>
      <x:c r="C58" s="4" t="s">
        <x:v>2</x:v>
      </x:c>
      <x:c r="D58" s="31"/>
      <x:c r="E58" s="32"/>
      <x:c r="F58" s="32"/>
      <x:c r="G58" s="33"/>
      <x:c r="H58" s="53"/>
      <x:c r="I58" s="34"/>
      <x:c r="J58" s="30"/>
      <x:c r="K58" s="1"/>
      <x:c r="L58" s="1"/>
      <x:c r="M58" s="2"/>
      <x:c r="N58" s="1"/>
      <x:c r="O58" s="1"/>
      <x:c r="P58" s="1"/>
      <x:c r="Q58" s="1"/>
    </x:row>
    <x:row r="59" spans="1:17" ht="16.5" customHeight="1">
      <x:c r="A59" s="1"/>
      <x:c r="B59" s="53"/>
      <x:c r="C59" s="4" t="s">
        <x:v>11</x:v>
      </x:c>
      <x:c r="D59" s="31"/>
      <x:c r="E59" s="32"/>
      <x:c r="F59" s="32"/>
      <x:c r="G59" s="33"/>
      <x:c r="H59" s="53"/>
      <x:c r="I59" s="34"/>
      <x:c r="J59" s="30"/>
      <x:c r="K59" s="1"/>
      <x:c r="L59" s="1"/>
      <x:c r="M59" s="2"/>
      <x:c r="N59" s="1"/>
      <x:c r="O59" s="1"/>
      <x:c r="P59" s="1"/>
      <x:c r="Q59" s="1"/>
    </x:row>
    <x:row r="60" spans="1:17" ht="16.5" customHeight="1">
      <x:c r="A60" s="1"/>
      <x:c r="B60" s="53"/>
      <x:c r="C60" s="4" t="s">
        <x:v>6</x:v>
      </x:c>
      <x:c r="D60" s="31"/>
      <x:c r="E60" s="32"/>
      <x:c r="F60" s="32"/>
      <x:c r="G60" s="33"/>
      <x:c r="H60" s="53"/>
      <x:c r="I60" s="34"/>
      <x:c r="J60" s="30"/>
      <x:c r="K60" s="1"/>
      <x:c r="L60" s="1"/>
      <x:c r="M60" s="2"/>
      <x:c r="N60" s="1"/>
      <x:c r="O60" s="1"/>
      <x:c r="P60" s="1"/>
      <x:c r="Q60" s="1"/>
    </x:row>
    <x:row r="61" spans="1:17" ht="16.5" customHeight="1">
      <x:c r="A61" s="1"/>
      <x:c r="B61" s="54"/>
      <x:c r="C61" s="4" t="s">
        <x:v>19</x:v>
      </x:c>
      <x:c r="D61" s="31"/>
      <x:c r="E61" s="32"/>
      <x:c r="F61" s="32"/>
      <x:c r="G61" s="33"/>
      <x:c r="H61" s="54"/>
      <x:c r="I61" s="34"/>
      <x:c r="J61" s="30"/>
      <x:c r="K61" s="1"/>
      <x:c r="L61" s="1"/>
      <x:c r="M61" s="2"/>
      <x:c r="N61" s="1"/>
      <x:c r="O61" s="1"/>
      <x:c r="P61" s="1"/>
      <x:c r="Q61" s="1"/>
    </x:row>
    <x:row r="62" spans="1:17" ht="16.5" customHeight="1">
      <x:c r="A62" s="1"/>
      <x:c r="B62" s="52" t="s">
        <x:v>50</x:v>
      </x:c>
      <x:c r="C62" s="4"/>
      <x:c r="D62" s="55" t="s">
        <x:v>62</x:v>
      </x:c>
      <x:c r="E62" s="56"/>
      <x:c r="F62" s="56"/>
      <x:c r="G62" s="57"/>
      <x:c r="H62" s="1"/>
      <x:c r="I62" s="1"/>
      <x:c r="J62" s="1"/>
      <x:c r="K62" s="1"/>
      <x:c r="L62" s="1"/>
      <x:c r="M62" s="2"/>
      <x:c r="N62" s="1"/>
      <x:c r="O62" s="1"/>
      <x:c r="P62" s="1"/>
      <x:c r="Q62" s="1"/>
    </x:row>
    <x:row r="63" spans="1:17" ht="16.5" customHeight="1">
      <x:c r="A63" s="1"/>
      <x:c r="B63" s="53"/>
      <x:c r="C63" s="4" t="s">
        <x:v>12</x:v>
      </x:c>
      <x:c r="D63" s="27" t="s">
        <x:v>5</x:v>
      </x:c>
      <x:c r="E63" s="28" t="s">
        <x:v>40</x:v>
      </x:c>
      <x:c r="F63" s="28" t="s">
        <x:v>36</x:v>
      </x:c>
      <x:c r="G63" s="28" t="s">
        <x:v>35</x:v>
      </x:c>
      <x:c r="H63" s="29" t="s">
        <x:v>74</x:v>
      </x:c>
      <x:c r="I63" s="30" t="s">
        <x:v>69</x:v>
      </x:c>
      <x:c r="J63" s="30" t="s">
        <x:v>49</x:v>
      </x:c>
      <x:c r="K63" s="1"/>
      <x:c r="L63" s="1"/>
      <x:c r="M63" s="2"/>
      <x:c r="N63" s="1"/>
      <x:c r="O63" s="1"/>
      <x:c r="P63" s="1"/>
      <x:c r="Q63" s="1"/>
    </x:row>
    <x:row r="64" spans="1:17" ht="16.5" customHeight="1">
      <x:c r="A64" s="1"/>
      <x:c r="B64" s="53"/>
      <x:c r="C64" s="4" t="s">
        <x:v>18</x:v>
      </x:c>
      <x:c r="D64" s="31"/>
      <x:c r="E64" s="32"/>
      <x:c r="F64" s="32"/>
      <x:c r="G64" s="33"/>
      <x:c r="H64" s="52"/>
      <x:c r="I64" s="34"/>
      <x:c r="J64" s="30"/>
      <x:c r="K64" s="1"/>
      <x:c r="L64" s="1"/>
      <x:c r="M64" s="2"/>
      <x:c r="N64" s="1"/>
      <x:c r="O64" s="1"/>
      <x:c r="P64" s="1"/>
      <x:c r="Q64" s="1"/>
    </x:row>
    <x:row r="65" spans="1:17" ht="16.5" customHeight="1">
      <x:c r="A65" s="1"/>
      <x:c r="B65" s="53"/>
      <x:c r="C65" s="4" t="s">
        <x:v>2</x:v>
      </x:c>
      <x:c r="D65" s="31"/>
      <x:c r="E65" s="32"/>
      <x:c r="F65" s="32"/>
      <x:c r="G65" s="33"/>
      <x:c r="H65" s="53"/>
      <x:c r="I65" s="34"/>
      <x:c r="J65" s="30"/>
      <x:c r="K65" s="1"/>
      <x:c r="L65" s="1"/>
      <x:c r="M65" s="2"/>
      <x:c r="N65" s="1"/>
      <x:c r="O65" s="1"/>
      <x:c r="P65" s="1"/>
      <x:c r="Q65" s="1"/>
    </x:row>
    <x:row r="66" spans="1:17" ht="16.5" customHeight="1">
      <x:c r="A66" s="1"/>
      <x:c r="B66" s="53"/>
      <x:c r="C66" s="4" t="s">
        <x:v>11</x:v>
      </x:c>
      <x:c r="D66" s="31"/>
      <x:c r="E66" s="32"/>
      <x:c r="F66" s="32"/>
      <x:c r="G66" s="33"/>
      <x:c r="H66" s="53"/>
      <x:c r="I66" s="34"/>
      <x:c r="J66" s="30"/>
      <x:c r="K66" s="1"/>
      <x:c r="L66" s="1"/>
      <x:c r="M66" s="2"/>
      <x:c r="N66" s="1"/>
      <x:c r="O66" s="1"/>
      <x:c r="P66" s="1"/>
      <x:c r="Q66" s="1"/>
    </x:row>
    <x:row r="67" spans="1:17" ht="16.5" customHeight="1">
      <x:c r="A67" s="1"/>
      <x:c r="B67" s="53"/>
      <x:c r="C67" s="4" t="s">
        <x:v>6</x:v>
      </x:c>
      <x:c r="D67" s="31"/>
      <x:c r="E67" s="32"/>
      <x:c r="F67" s="32"/>
      <x:c r="G67" s="33"/>
      <x:c r="H67" s="53"/>
      <x:c r="I67" s="34"/>
      <x:c r="J67" s="30"/>
      <x:c r="K67" s="1"/>
      <x:c r="L67" s="1"/>
      <x:c r="M67" s="2"/>
      <x:c r="N67" s="1"/>
      <x:c r="O67" s="1"/>
      <x:c r="P67" s="1"/>
      <x:c r="Q67" s="1"/>
    </x:row>
    <x:row r="68" spans="1:17" ht="16.5" customHeight="1">
      <x:c r="A68" s="1"/>
      <x:c r="B68" s="54"/>
      <x:c r="C68" s="4" t="s">
        <x:v>19</x:v>
      </x:c>
      <x:c r="D68" s="31"/>
      <x:c r="E68" s="32"/>
      <x:c r="F68" s="32"/>
      <x:c r="G68" s="33"/>
      <x:c r="H68" s="54"/>
      <x:c r="I68" s="34"/>
      <x:c r="J68" s="30"/>
      <x:c r="K68" s="1"/>
      <x:c r="L68" s="1"/>
      <x:c r="M68" s="2"/>
      <x:c r="N68" s="1"/>
      <x:c r="O68" s="1"/>
      <x:c r="P68" s="1"/>
      <x:c r="Q68" s="1"/>
    </x:row>
    <x:row r="69" spans="1:17" ht="16.5" customHeight="1">
      <x:c r="A69" s="1"/>
      <x:c r="B69" s="52" t="s">
        <x:v>58</x:v>
      </x:c>
      <x:c r="C69" s="4"/>
      <x:c r="D69" s="55" t="s">
        <x:v>62</x:v>
      </x:c>
      <x:c r="E69" s="56"/>
      <x:c r="F69" s="56"/>
      <x:c r="G69" s="57"/>
      <x:c r="H69" s="1"/>
      <x:c r="I69" s="1"/>
      <x:c r="J69" s="1"/>
      <x:c r="K69" s="1"/>
      <x:c r="L69" s="1"/>
      <x:c r="M69" s="2"/>
      <x:c r="N69" s="1"/>
      <x:c r="O69" s="1"/>
      <x:c r="P69" s="1"/>
      <x:c r="Q69" s="1"/>
    </x:row>
    <x:row r="70" spans="1:17" ht="16.5" customHeight="1">
      <x:c r="A70" s="1"/>
      <x:c r="B70" s="53"/>
      <x:c r="C70" s="4" t="s">
        <x:v>12</x:v>
      </x:c>
      <x:c r="D70" s="27" t="s">
        <x:v>5</x:v>
      </x:c>
      <x:c r="E70" s="28" t="s">
        <x:v>40</x:v>
      </x:c>
      <x:c r="F70" s="28" t="s">
        <x:v>36</x:v>
      </x:c>
      <x:c r="G70" s="28" t="s">
        <x:v>35</x:v>
      </x:c>
      <x:c r="H70" s="29" t="s">
        <x:v>74</x:v>
      </x:c>
      <x:c r="I70" s="30" t="s">
        <x:v>69</x:v>
      </x:c>
      <x:c r="J70" s="30" t="s">
        <x:v>49</x:v>
      </x:c>
      <x:c r="K70" s="1"/>
      <x:c r="L70" s="1"/>
      <x:c r="M70" s="2"/>
      <x:c r="N70" s="1"/>
      <x:c r="O70" s="1"/>
      <x:c r="P70" s="1"/>
      <x:c r="Q70" s="1"/>
    </x:row>
    <x:row r="71" spans="1:17" ht="16.5" customHeight="1">
      <x:c r="A71" s="1"/>
      <x:c r="B71" s="53"/>
      <x:c r="C71" s="4" t="s">
        <x:v>18</x:v>
      </x:c>
      <x:c r="D71" s="31"/>
      <x:c r="E71" s="32"/>
      <x:c r="F71" s="32"/>
      <x:c r="G71" s="33"/>
      <x:c r="H71" s="52"/>
      <x:c r="I71" s="34"/>
      <x:c r="J71" s="30"/>
      <x:c r="K71" s="1"/>
      <x:c r="L71" s="1"/>
      <x:c r="M71" s="2"/>
      <x:c r="N71" s="1"/>
      <x:c r="O71" s="1"/>
      <x:c r="P71" s="1"/>
      <x:c r="Q71" s="1"/>
    </x:row>
    <x:row r="72" spans="1:17" ht="16.5" customHeight="1">
      <x:c r="A72" s="1"/>
      <x:c r="B72" s="53"/>
      <x:c r="C72" s="4" t="s">
        <x:v>2</x:v>
      </x:c>
      <x:c r="D72" s="31"/>
      <x:c r="E72" s="32"/>
      <x:c r="F72" s="32"/>
      <x:c r="G72" s="33"/>
      <x:c r="H72" s="53"/>
      <x:c r="I72" s="34"/>
      <x:c r="J72" s="30"/>
      <x:c r="K72" s="1"/>
      <x:c r="L72" s="1"/>
      <x:c r="M72" s="2"/>
      <x:c r="N72" s="1"/>
      <x:c r="O72" s="1"/>
      <x:c r="P72" s="1"/>
      <x:c r="Q72" s="1"/>
    </x:row>
    <x:row r="73" spans="1:17" ht="16.5" customHeight="1">
      <x:c r="A73" s="1"/>
      <x:c r="B73" s="53"/>
      <x:c r="C73" s="4" t="s">
        <x:v>11</x:v>
      </x:c>
      <x:c r="D73" s="31"/>
      <x:c r="E73" s="32"/>
      <x:c r="F73" s="32"/>
      <x:c r="G73" s="33"/>
      <x:c r="H73" s="53"/>
      <x:c r="I73" s="34"/>
      <x:c r="J73" s="30"/>
      <x:c r="K73" s="1"/>
      <x:c r="L73" s="1"/>
      <x:c r="M73" s="2"/>
      <x:c r="N73" s="1"/>
      <x:c r="O73" s="1"/>
      <x:c r="P73" s="1"/>
      <x:c r="Q73" s="1"/>
    </x:row>
    <x:row r="74" spans="1:17" ht="16.5" customHeight="1">
      <x:c r="A74" s="1"/>
      <x:c r="B74" s="53"/>
      <x:c r="C74" s="4" t="s">
        <x:v>6</x:v>
      </x:c>
      <x:c r="D74" s="31"/>
      <x:c r="E74" s="32"/>
      <x:c r="F74" s="32"/>
      <x:c r="G74" s="33"/>
      <x:c r="H74" s="53"/>
      <x:c r="I74" s="34"/>
      <x:c r="J74" s="30"/>
      <x:c r="K74" s="1"/>
      <x:c r="L74" s="1"/>
      <x:c r="M74" s="2"/>
      <x:c r="N74" s="1"/>
      <x:c r="O74" s="1"/>
      <x:c r="P74" s="1"/>
      <x:c r="Q74" s="1"/>
    </x:row>
    <x:row r="75" spans="1:17" ht="16.5" customHeight="1">
      <x:c r="A75" s="1"/>
      <x:c r="B75" s="54"/>
      <x:c r="C75" s="4" t="s">
        <x:v>19</x:v>
      </x:c>
      <x:c r="D75" s="31"/>
      <x:c r="E75" s="32"/>
      <x:c r="F75" s="32"/>
      <x:c r="G75" s="33"/>
      <x:c r="H75" s="54"/>
      <x:c r="I75" s="34"/>
      <x:c r="J75" s="30"/>
      <x:c r="K75" s="1"/>
      <x:c r="L75" s="1"/>
      <x:c r="M75" s="2"/>
      <x:c r="N75" s="1"/>
      <x:c r="O75" s="1"/>
      <x:c r="P75" s="1"/>
      <x:c r="Q75" s="1"/>
    </x:row>
    <x:row r="76" spans="1:17" ht="16.5" customHeight="1">
      <x:c r="A76" s="1"/>
      <x:c r="B76" s="52" t="s">
        <x:v>67</x:v>
      </x:c>
      <x:c r="C76" s="4"/>
      <x:c r="D76" s="55" t="s">
        <x:v>62</x:v>
      </x:c>
      <x:c r="E76" s="56"/>
      <x:c r="F76" s="56"/>
      <x:c r="G76" s="57"/>
      <x:c r="H76" s="1"/>
      <x:c r="I76" s="1"/>
      <x:c r="J76" s="1"/>
      <x:c r="K76" s="1"/>
      <x:c r="L76" s="1"/>
      <x:c r="M76" s="2"/>
      <x:c r="N76" s="1"/>
      <x:c r="O76" s="1"/>
      <x:c r="P76" s="1"/>
      <x:c r="Q76" s="1"/>
    </x:row>
    <x:row r="77" spans="1:17" ht="16.5" customHeight="1">
      <x:c r="A77" s="1"/>
      <x:c r="B77" s="53"/>
      <x:c r="C77" s="4" t="s">
        <x:v>12</x:v>
      </x:c>
      <x:c r="D77" s="27" t="s">
        <x:v>5</x:v>
      </x:c>
      <x:c r="E77" s="28" t="s">
        <x:v>40</x:v>
      </x:c>
      <x:c r="F77" s="28" t="s">
        <x:v>36</x:v>
      </x:c>
      <x:c r="G77" s="28" t="s">
        <x:v>35</x:v>
      </x:c>
      <x:c r="H77" s="29" t="s">
        <x:v>74</x:v>
      </x:c>
      <x:c r="I77" s="30" t="s">
        <x:v>69</x:v>
      </x:c>
      <x:c r="J77" s="30" t="s">
        <x:v>49</x:v>
      </x:c>
      <x:c r="K77" s="1"/>
      <x:c r="L77" s="1"/>
      <x:c r="M77" s="2"/>
      <x:c r="N77" s="1"/>
      <x:c r="O77" s="1"/>
      <x:c r="P77" s="1"/>
      <x:c r="Q77" s="1"/>
    </x:row>
    <x:row r="78" spans="1:17" ht="16.5" customHeight="1">
      <x:c r="A78" s="1"/>
      <x:c r="B78" s="53"/>
      <x:c r="C78" s="4" t="s">
        <x:v>18</x:v>
      </x:c>
      <x:c r="D78" s="31"/>
      <x:c r="E78" s="32"/>
      <x:c r="F78" s="32"/>
      <x:c r="G78" s="33"/>
      <x:c r="H78" s="52"/>
      <x:c r="I78" s="34"/>
      <x:c r="J78" s="30"/>
      <x:c r="K78" s="1"/>
      <x:c r="L78" s="1"/>
      <x:c r="M78" s="2"/>
      <x:c r="N78" s="1"/>
      <x:c r="O78" s="1"/>
      <x:c r="P78" s="1"/>
      <x:c r="Q78" s="1"/>
    </x:row>
    <x:row r="79" spans="1:17" ht="16.5" customHeight="1">
      <x:c r="A79" s="1"/>
      <x:c r="B79" s="53"/>
      <x:c r="C79" s="4" t="s">
        <x:v>2</x:v>
      </x:c>
      <x:c r="D79" s="31"/>
      <x:c r="E79" s="32"/>
      <x:c r="F79" s="32"/>
      <x:c r="G79" s="33"/>
      <x:c r="H79" s="53"/>
      <x:c r="I79" s="34"/>
      <x:c r="J79" s="30"/>
      <x:c r="K79" s="1"/>
      <x:c r="L79" s="1"/>
      <x:c r="M79" s="2"/>
      <x:c r="N79" s="1"/>
      <x:c r="O79" s="1"/>
      <x:c r="P79" s="1"/>
      <x:c r="Q79" s="1"/>
    </x:row>
    <x:row r="80" spans="1:17" ht="16.5" customHeight="1">
      <x:c r="A80" s="1"/>
      <x:c r="B80" s="53"/>
      <x:c r="C80" s="4" t="s">
        <x:v>11</x:v>
      </x:c>
      <x:c r="D80" s="31"/>
      <x:c r="E80" s="32"/>
      <x:c r="F80" s="32"/>
      <x:c r="G80" s="33"/>
      <x:c r="H80" s="53"/>
      <x:c r="I80" s="34"/>
      <x:c r="J80" s="30"/>
      <x:c r="K80" s="1"/>
      <x:c r="L80" s="1"/>
      <x:c r="M80" s="2"/>
      <x:c r="N80" s="1"/>
      <x:c r="O80" s="1"/>
      <x:c r="P80" s="1"/>
      <x:c r="Q80" s="1"/>
    </x:row>
    <x:row r="81" spans="1:17" ht="16.5" customHeight="1">
      <x:c r="A81" s="1"/>
      <x:c r="B81" s="53"/>
      <x:c r="C81" s="4" t="s">
        <x:v>6</x:v>
      </x:c>
      <x:c r="D81" s="31"/>
      <x:c r="E81" s="32"/>
      <x:c r="F81" s="32"/>
      <x:c r="G81" s="33"/>
      <x:c r="H81" s="53"/>
      <x:c r="I81" s="34"/>
      <x:c r="J81" s="30"/>
      <x:c r="K81" s="1"/>
      <x:c r="L81" s="1"/>
      <x:c r="M81" s="2"/>
      <x:c r="N81" s="1"/>
      <x:c r="O81" s="1"/>
      <x:c r="P81" s="1"/>
      <x:c r="Q81" s="1"/>
    </x:row>
    <x:row r="82" spans="1:17" ht="16.5" customHeight="1">
      <x:c r="A82" s="1"/>
      <x:c r="B82" s="54"/>
      <x:c r="C82" s="4" t="s">
        <x:v>19</x:v>
      </x:c>
      <x:c r="D82" s="31"/>
      <x:c r="E82" s="32"/>
      <x:c r="F82" s="32"/>
      <x:c r="G82" s="33"/>
      <x:c r="H82" s="54"/>
      <x:c r="I82" s="34"/>
      <x:c r="J82" s="30"/>
      <x:c r="K82" s="1"/>
      <x:c r="L82" s="1"/>
      <x:c r="M82" s="2"/>
      <x:c r="N82" s="1"/>
      <x:c r="O82" s="1"/>
      <x:c r="P82" s="1"/>
      <x:c r="Q82" s="1"/>
    </x:row>
    <x:row r="83" spans="1:17" ht="16.5" customHeight="1">
      <x:c r="A83" s="1"/>
      <x:c r="B83" s="52" t="s">
        <x:v>57</x:v>
      </x:c>
      <x:c r="C83" s="4"/>
      <x:c r="D83" s="55" t="s">
        <x:v>62</x:v>
      </x:c>
      <x:c r="E83" s="56"/>
      <x:c r="F83" s="56"/>
      <x:c r="G83" s="57"/>
      <x:c r="H83" s="1"/>
      <x:c r="I83" s="1"/>
      <x:c r="J83" s="1"/>
      <x:c r="K83" s="1"/>
      <x:c r="L83" s="1"/>
      <x:c r="M83" s="2"/>
      <x:c r="N83" s="1"/>
      <x:c r="O83" s="1"/>
      <x:c r="P83" s="1"/>
      <x:c r="Q83" s="1"/>
    </x:row>
    <x:row r="84" spans="1:17" ht="16.5" customHeight="1">
      <x:c r="A84" s="1"/>
      <x:c r="B84" s="53"/>
      <x:c r="C84" s="4" t="s">
        <x:v>12</x:v>
      </x:c>
      <x:c r="D84" s="27" t="s">
        <x:v>5</x:v>
      </x:c>
      <x:c r="E84" s="28" t="s">
        <x:v>40</x:v>
      </x:c>
      <x:c r="F84" s="28" t="s">
        <x:v>36</x:v>
      </x:c>
      <x:c r="G84" s="28" t="s">
        <x:v>35</x:v>
      </x:c>
      <x:c r="H84" s="29" t="s">
        <x:v>74</x:v>
      </x:c>
      <x:c r="I84" s="30" t="s">
        <x:v>69</x:v>
      </x:c>
      <x:c r="J84" s="30" t="s">
        <x:v>49</x:v>
      </x:c>
      <x:c r="K84" s="29" t="s">
        <x:v>74</x:v>
      </x:c>
      <x:c r="L84" s="30" t="s">
        <x:v>69</x:v>
      </x:c>
      <x:c r="M84" s="35" t="s">
        <x:v>49</x:v>
      </x:c>
      <x:c r="N84" s="1"/>
      <x:c r="O84" s="1"/>
      <x:c r="P84" s="1"/>
      <x:c r="Q84" s="1"/>
    </x:row>
    <x:row r="85" spans="1:17" ht="16.5" customHeight="1">
      <x:c r="A85" s="1"/>
      <x:c r="B85" s="53"/>
      <x:c r="C85" s="4" t="s">
        <x:v>18</x:v>
      </x:c>
      <x:c r="D85" s="31"/>
      <x:c r="E85" s="32"/>
      <x:c r="F85" s="32"/>
      <x:c r="G85" s="33"/>
      <x:c r="H85" s="52" t="s">
        <x:v>75</x:v>
      </x:c>
      <x:c r="I85" s="34"/>
      <x:c r="J85" s="30"/>
      <x:c r="K85" s="52"/>
      <x:c r="L85" s="34"/>
      <x:c r="M85" s="35"/>
      <x:c r="N85" s="1"/>
      <x:c r="O85" s="1"/>
      <x:c r="P85" s="1"/>
      <x:c r="Q85" s="1"/>
    </x:row>
    <x:row r="86" spans="1:17" ht="16.5" customHeight="1">
      <x:c r="A86" s="1"/>
      <x:c r="B86" s="53"/>
      <x:c r="C86" s="4" t="s">
        <x:v>2</x:v>
      </x:c>
      <x:c r="D86" s="31"/>
      <x:c r="E86" s="32"/>
      <x:c r="F86" s="32"/>
      <x:c r="G86" s="33"/>
      <x:c r="H86" s="53"/>
      <x:c r="I86" s="34"/>
      <x:c r="J86" s="30"/>
      <x:c r="K86" s="53"/>
      <x:c r="L86" s="34"/>
      <x:c r="M86" s="35"/>
      <x:c r="N86" s="1"/>
      <x:c r="O86" s="1"/>
      <x:c r="P86" s="1"/>
      <x:c r="Q86" s="1"/>
    </x:row>
    <x:row r="87" spans="1:17" ht="16.5" customHeight="1">
      <x:c r="A87" s="1"/>
      <x:c r="B87" s="53"/>
      <x:c r="C87" s="4" t="s">
        <x:v>11</x:v>
      </x:c>
      <x:c r="D87" s="31"/>
      <x:c r="E87" s="32"/>
      <x:c r="F87" s="32"/>
      <x:c r="G87" s="33"/>
      <x:c r="H87" s="53"/>
      <x:c r="I87" s="34"/>
      <x:c r="J87" s="30">
        <x:v>32</x:v>
      </x:c>
      <x:c r="K87" s="53"/>
      <x:c r="L87" s="34"/>
      <x:c r="M87" s="35"/>
      <x:c r="N87" s="1"/>
      <x:c r="O87" s="1"/>
      <x:c r="P87" s="1"/>
      <x:c r="Q87" s="1"/>
    </x:row>
    <x:row r="88" spans="1:17" ht="16.5" customHeight="1">
      <x:c r="A88" s="1"/>
      <x:c r="B88" s="53"/>
      <x:c r="C88" s="4" t="s">
        <x:v>6</x:v>
      </x:c>
      <x:c r="D88" s="31"/>
      <x:c r="E88" s="32"/>
      <x:c r="F88" s="32"/>
      <x:c r="G88" s="33"/>
      <x:c r="H88" s="53"/>
      <x:c r="I88" s="34"/>
      <x:c r="J88" s="30">
        <x:v>32</x:v>
      </x:c>
      <x:c r="K88" s="53"/>
      <x:c r="L88" s="34"/>
      <x:c r="M88" s="35"/>
      <x:c r="N88" s="1"/>
      <x:c r="O88" s="1"/>
      <x:c r="P88" s="1"/>
      <x:c r="Q88" s="1"/>
    </x:row>
    <x:row r="89" spans="1:17" ht="16.5" customHeight="1">
      <x:c r="A89" s="1"/>
      <x:c r="B89" s="54"/>
      <x:c r="C89" s="4" t="s">
        <x:v>19</x:v>
      </x:c>
      <x:c r="D89" s="31"/>
      <x:c r="E89" s="32"/>
      <x:c r="F89" s="32"/>
      <x:c r="G89" s="33"/>
      <x:c r="H89" s="54"/>
      <x:c r="I89" s="34"/>
      <x:c r="J89" s="30"/>
      <x:c r="K89" s="54"/>
      <x:c r="L89" s="34"/>
      <x:c r="M89" s="35"/>
      <x:c r="N89" s="1"/>
      <x:c r="O89" s="1"/>
      <x:c r="P89" s="1"/>
      <x:c r="Q89" s="1"/>
    </x:row>
    <x:row r="90" spans="1:17" ht="16.5" customHeight="1">
      <x:c r="A90" s="1"/>
      <x:c r="B90" s="52" t="s">
        <x:v>22</x:v>
      </x:c>
      <x:c r="C90" s="4"/>
      <x:c r="D90" s="66" t="s">
        <x:v>62</x:v>
      </x:c>
      <x:c r="E90" s="59"/>
      <x:c r="F90" s="59"/>
      <x:c r="G90" s="60"/>
      <x:c r="H90" s="1"/>
      <x:c r="I90" s="1"/>
      <x:c r="J90" s="1"/>
      <x:c r="K90" s="1"/>
      <x:c r="L90" s="1"/>
      <x:c r="M90" s="2"/>
      <x:c r="N90" s="1"/>
      <x:c r="O90" s="1"/>
      <x:c r="P90" s="1"/>
      <x:c r="Q90" s="1"/>
    </x:row>
    <x:row r="91" spans="1:17" ht="16.5" customHeight="1">
      <x:c r="A91" s="1"/>
      <x:c r="B91" s="53"/>
      <x:c r="C91" s="11" t="s">
        <x:v>12</x:v>
      </x:c>
      <x:c r="D91" s="36" t="s">
        <x:v>5</x:v>
      </x:c>
      <x:c r="E91" s="36" t="s">
        <x:v>40</x:v>
      </x:c>
      <x:c r="F91" s="36" t="s">
        <x:v>36</x:v>
      </x:c>
      <x:c r="G91" s="36" t="s">
        <x:v>35</x:v>
      </x:c>
      <x:c r="H91" s="29" t="s">
        <x:v>74</x:v>
      </x:c>
      <x:c r="I91" s="30" t="s">
        <x:v>69</x:v>
      </x:c>
      <x:c r="J91" s="30" t="s">
        <x:v>49</x:v>
      </x:c>
      <x:c r="K91" s="29" t="s">
        <x:v>74</x:v>
      </x:c>
      <x:c r="L91" s="30" t="s">
        <x:v>69</x:v>
      </x:c>
      <x:c r="M91" s="35" t="s">
        <x:v>49</x:v>
      </x:c>
      <x:c r="N91" s="1"/>
      <x:c r="O91" s="1"/>
      <x:c r="P91" s="1"/>
      <x:c r="Q91" s="1"/>
    </x:row>
    <x:row r="92" spans="1:17" ht="16.5" customHeight="1">
      <x:c r="A92" s="1"/>
      <x:c r="B92" s="53"/>
      <x:c r="C92" s="11" t="s">
        <x:v>18</x:v>
      </x:c>
      <x:c r="D92" s="37">
        <x:v>1.0800000000000001</x:v>
      </x:c>
      <x:c r="E92" s="37">
        <x:v>1.03</x:v>
      </x:c>
      <x:c r="F92" s="37">
        <x:v>0.96999999999999997</x:v>
      </x:c>
      <x:c r="G92" s="37">
        <x:v>0.92000000000000004</x:v>
      </x:c>
      <x:c r="H92" s="52" t="s">
        <x:v>47</x:v>
      </x:c>
      <x:c r="I92" s="34"/>
      <x:c r="J92" s="38">
        <x:v>1</x:v>
      </x:c>
      <x:c r="K92" s="52"/>
      <x:c r="L92" s="34"/>
      <x:c r="M92" s="35"/>
      <x:c r="N92" s="1"/>
      <x:c r="O92" s="1"/>
      <x:c r="P92" s="1"/>
      <x:c r="Q92" s="1"/>
    </x:row>
    <x:row r="93" spans="1:17" ht="16.5" customHeight="1">
      <x:c r="A93" s="1"/>
      <x:c r="B93" s="53"/>
      <x:c r="C93" s="11" t="s">
        <x:v>2</x:v>
      </x:c>
      <x:c r="D93" s="37">
        <x:v>2.3999999999999999</x:v>
      </x:c>
      <x:c r="E93" s="37">
        <x:v>2.2799999999999998</x:v>
      </x:c>
      <x:c r="F93" s="37">
        <x:v>2.1600000000000001</x:v>
      </x:c>
      <x:c r="G93" s="37">
        <x:v>2.0499999999999998</x:v>
      </x:c>
      <x:c r="H93" s="53"/>
      <x:c r="I93" s="34"/>
      <x:c r="J93" s="38">
        <x:v>1</x:v>
      </x:c>
      <x:c r="K93" s="53"/>
      <x:c r="L93" s="34"/>
      <x:c r="M93" s="35"/>
      <x:c r="N93" s="1"/>
      <x:c r="O93" s="1"/>
      <x:c r="P93" s="1"/>
      <x:c r="Q93" s="1"/>
    </x:row>
    <x:row r="94" spans="1:17" ht="16.5" customHeight="1">
      <x:c r="A94" s="1"/>
      <x:c r="B94" s="53"/>
      <x:c r="C94" s="11" t="s">
        <x:v>11</x:v>
      </x:c>
      <x:c r="D94" s="37" t="s">
        <x:v>83</x:v>
      </x:c>
      <x:c r="E94" s="37" t="s">
        <x:v>52</x:v>
      </x:c>
      <x:c r="F94" s="37" t="s">
        <x:v>52</x:v>
      </x:c>
      <x:c r="G94" s="37" t="s">
        <x:v>52</x:v>
      </x:c>
      <x:c r="H94" s="53"/>
      <x:c r="I94" s="34"/>
      <x:c r="J94" s="30"/>
      <x:c r="K94" s="53"/>
      <x:c r="L94" s="34"/>
      <x:c r="M94" s="35"/>
      <x:c r="N94" s="1"/>
      <x:c r="O94" s="1"/>
      <x:c r="P94" s="1"/>
      <x:c r="Q94" s="1"/>
    </x:row>
    <x:row r="95" spans="1:17" ht="16.5" customHeight="1">
      <x:c r="A95" s="1"/>
      <x:c r="B95" s="53"/>
      <x:c r="C95" s="11" t="s">
        <x:v>6</x:v>
      </x:c>
      <x:c r="D95" s="37" t="s">
        <x:v>83</x:v>
      </x:c>
      <x:c r="E95" s="37" t="s">
        <x:v>52</x:v>
      </x:c>
      <x:c r="F95" s="37" t="s">
        <x:v>52</x:v>
      </x:c>
      <x:c r="G95" s="37" t="s">
        <x:v>52</x:v>
      </x:c>
      <x:c r="H95" s="53"/>
      <x:c r="I95" s="34"/>
      <x:c r="J95" s="30"/>
      <x:c r="K95" s="53"/>
      <x:c r="L95" s="34"/>
      <x:c r="M95" s="35"/>
      <x:c r="N95" s="1"/>
      <x:c r="O95" s="1"/>
      <x:c r="P95" s="1"/>
      <x:c r="Q95" s="1"/>
    </x:row>
    <x:row r="96" spans="1:17" ht="16.5" customHeight="1">
      <x:c r="A96" s="1"/>
      <x:c r="B96" s="54"/>
      <x:c r="C96" s="11" t="s">
        <x:v>19</x:v>
      </x:c>
      <x:c r="D96" s="37" t="s">
        <x:v>83</x:v>
      </x:c>
      <x:c r="E96" s="37" t="s">
        <x:v>52</x:v>
      </x:c>
      <x:c r="F96" s="37" t="s">
        <x:v>52</x:v>
      </x:c>
      <x:c r="G96" s="37" t="s">
        <x:v>52</x:v>
      </x:c>
      <x:c r="H96" s="54"/>
      <x:c r="I96" s="34"/>
      <x:c r="J96" s="30"/>
      <x:c r="K96" s="54"/>
      <x:c r="L96" s="34"/>
      <x:c r="M96" s="35"/>
      <x:c r="N96" s="1"/>
      <x:c r="O96" s="1"/>
      <x:c r="P96" s="1"/>
      <x:c r="Q96" s="1"/>
    </x:row>
    <x:row r="97" spans="1:17" ht="16.5" customHeight="1">
      <x:c r="A97" s="1"/>
      <x:c r="B97" s="52" t="s">
        <x:v>59</x:v>
      </x:c>
      <x:c r="C97" s="11"/>
      <x:c r="D97" s="55" t="s">
        <x:v>62</x:v>
      </x:c>
      <x:c r="E97" s="56"/>
      <x:c r="F97" s="56"/>
      <x:c r="G97" s="57"/>
      <x:c r="H97" s="1"/>
      <x:c r="I97" s="30"/>
      <x:c r="J97" s="30"/>
      <x:c r="K97" s="1"/>
      <x:c r="L97" s="30"/>
      <x:c r="M97" s="35"/>
      <x:c r="N97" s="1"/>
      <x:c r="O97" s="1"/>
      <x:c r="P97" s="1"/>
      <x:c r="Q97" s="1"/>
    </x:row>
    <x:row r="98" spans="1:17" ht="16.5" customHeight="1">
      <x:c r="A98" s="1"/>
      <x:c r="B98" s="53"/>
      <x:c r="C98" s="11" t="s">
        <x:v>12</x:v>
      </x:c>
      <x:c r="D98" s="36" t="s">
        <x:v>5</x:v>
      </x:c>
      <x:c r="E98" s="36" t="s">
        <x:v>40</x:v>
      </x:c>
      <x:c r="F98" s="36" t="s">
        <x:v>36</x:v>
      </x:c>
      <x:c r="G98" s="36" t="s">
        <x:v>35</x:v>
      </x:c>
      <x:c r="H98" s="29" t="s">
        <x:v>74</x:v>
      </x:c>
      <x:c r="I98" s="30" t="s">
        <x:v>69</x:v>
      </x:c>
      <x:c r="J98" s="30" t="s">
        <x:v>49</x:v>
      </x:c>
      <x:c r="K98" s="29" t="s">
        <x:v>74</x:v>
      </x:c>
      <x:c r="L98" s="30" t="s">
        <x:v>69</x:v>
      </x:c>
      <x:c r="M98" s="35" t="s">
        <x:v>49</x:v>
      </x:c>
      <x:c r="N98" s="1"/>
      <x:c r="O98" s="1"/>
      <x:c r="P98" s="1"/>
      <x:c r="Q98" s="1"/>
    </x:row>
    <x:row r="99" spans="1:17" ht="16.5" customHeight="1">
      <x:c r="A99" s="1"/>
      <x:c r="B99" s="53"/>
      <x:c r="C99" s="11" t="s">
        <x:v>18</x:v>
      </x:c>
      <x:c r="D99" s="39"/>
      <x:c r="E99" s="39"/>
      <x:c r="F99" s="39"/>
      <x:c r="G99" s="40"/>
      <x:c r="H99" s="52"/>
      <x:c r="I99" s="34"/>
      <x:c r="J99" s="30"/>
      <x:c r="K99" s="52"/>
      <x:c r="L99" s="34"/>
      <x:c r="M99" s="35"/>
      <x:c r="N99" s="1"/>
      <x:c r="O99" s="1"/>
      <x:c r="P99" s="1"/>
      <x:c r="Q99" s="1"/>
    </x:row>
    <x:row r="100" spans="1:17" ht="16.5" customHeight="1">
      <x:c r="A100" s="1"/>
      <x:c r="B100" s="53"/>
      <x:c r="C100" s="11" t="s">
        <x:v>2</x:v>
      </x:c>
      <x:c r="D100" s="39"/>
      <x:c r="E100" s="39"/>
      <x:c r="F100" s="39"/>
      <x:c r="G100" s="40"/>
      <x:c r="H100" s="53"/>
      <x:c r="I100" s="34"/>
      <x:c r="J100" s="30"/>
      <x:c r="K100" s="53"/>
      <x:c r="L100" s="34"/>
      <x:c r="M100" s="35"/>
      <x:c r="N100" s="1"/>
      <x:c r="O100" s="1"/>
      <x:c r="P100" s="1"/>
      <x:c r="Q100" s="1"/>
    </x:row>
    <x:row r="101" spans="1:17" ht="16.5" customHeight="1">
      <x:c r="A101" s="1"/>
      <x:c r="B101" s="53"/>
      <x:c r="C101" s="11" t="s">
        <x:v>11</x:v>
      </x:c>
      <x:c r="D101" s="39">
        <x:v>3.1899999999999999</x:v>
      </x:c>
      <x:c r="E101" s="1"/>
      <x:c r="F101" s="39">
        <x:v>3.0899999999999999</x:v>
      </x:c>
      <x:c r="G101" s="40"/>
      <x:c r="H101" s="53"/>
      <x:c r="I101" s="34"/>
      <x:c r="J101" s="30"/>
      <x:c r="K101" s="53"/>
      <x:c r="L101" s="34"/>
      <x:c r="M101" s="35"/>
      <x:c r="N101" s="1"/>
      <x:c r="O101" s="1"/>
      <x:c r="P101" s="1"/>
      <x:c r="Q101" s="1"/>
    </x:row>
    <x:row r="102" spans="1:17" ht="16.5" customHeight="1">
      <x:c r="A102" s="1"/>
      <x:c r="B102" s="53"/>
      <x:c r="C102" s="11" t="s">
        <x:v>6</x:v>
      </x:c>
      <x:c r="D102" s="39"/>
      <x:c r="E102" s="39"/>
      <x:c r="F102" s="39"/>
      <x:c r="G102" s="40"/>
      <x:c r="H102" s="53"/>
      <x:c r="I102" s="34"/>
      <x:c r="J102" s="30"/>
      <x:c r="K102" s="53"/>
      <x:c r="L102" s="34"/>
      <x:c r="M102" s="35"/>
      <x:c r="N102" s="1"/>
      <x:c r="O102" s="1"/>
      <x:c r="P102" s="1"/>
      <x:c r="Q102" s="1"/>
    </x:row>
    <x:row r="103" spans="1:17" ht="16.5" customHeight="1">
      <x:c r="A103" s="1"/>
      <x:c r="B103" s="54"/>
      <x:c r="C103" s="11" t="s">
        <x:v>19</x:v>
      </x:c>
      <x:c r="D103" s="39"/>
      <x:c r="E103" s="39"/>
      <x:c r="F103" s="39"/>
      <x:c r="G103" s="40"/>
      <x:c r="H103" s="54"/>
      <x:c r="I103" s="34"/>
      <x:c r="J103" s="30"/>
      <x:c r="K103" s="54"/>
      <x:c r="L103" s="34"/>
      <x:c r="M103" s="35"/>
      <x:c r="N103" s="1"/>
      <x:c r="O103" s="1"/>
      <x:c r="P103" s="1"/>
      <x:c r="Q103" s="1"/>
    </x:row>
    <x:row r="104" spans="1:17" ht="16.5" customHeight="1">
      <x:c r="A104" s="1"/>
      <x:c r="B104" s="52" t="s">
        <x:v>15</x:v>
      </x:c>
      <x:c r="C104" s="11"/>
      <x:c r="D104" s="55" t="s">
        <x:v>62</x:v>
      </x:c>
      <x:c r="E104" s="56"/>
      <x:c r="F104" s="56"/>
      <x:c r="G104" s="57"/>
      <x:c r="H104" s="1"/>
      <x:c r="I104" s="30"/>
      <x:c r="J104" s="30"/>
      <x:c r="K104" s="1"/>
      <x:c r="L104" s="30"/>
      <x:c r="M104" s="35"/>
      <x:c r="N104" s="1"/>
      <x:c r="O104" s="1"/>
      <x:c r="P104" s="1"/>
      <x:c r="Q104" s="1"/>
    </x:row>
    <x:row r="105" spans="1:17" ht="16.5" customHeight="1">
      <x:c r="A105" s="1"/>
      <x:c r="B105" s="53"/>
      <x:c r="C105" s="11" t="s">
        <x:v>12</x:v>
      </x:c>
      <x:c r="D105" s="36" t="s">
        <x:v>5</x:v>
      </x:c>
      <x:c r="E105" s="36" t="s">
        <x:v>40</x:v>
      </x:c>
      <x:c r="F105" s="36" t="s">
        <x:v>36</x:v>
      </x:c>
      <x:c r="G105" s="36" t="s">
        <x:v>35</x:v>
      </x:c>
      <x:c r="H105" s="29" t="s">
        <x:v>74</x:v>
      </x:c>
      <x:c r="I105" s="30" t="s">
        <x:v>69</x:v>
      </x:c>
      <x:c r="J105" s="30" t="s">
        <x:v>49</x:v>
      </x:c>
      <x:c r="K105" s="29" t="s">
        <x:v>74</x:v>
      </x:c>
      <x:c r="L105" s="30" t="s">
        <x:v>69</x:v>
      </x:c>
      <x:c r="M105" s="35" t="s">
        <x:v>49</x:v>
      </x:c>
      <x:c r="N105" s="1"/>
      <x:c r="O105" s="1"/>
      <x:c r="P105" s="1"/>
      <x:c r="Q105" s="1"/>
    </x:row>
    <x:row r="106" spans="1:17" ht="16.5" customHeight="1">
      <x:c r="A106" s="1"/>
      <x:c r="B106" s="53"/>
      <x:c r="C106" s="11" t="s">
        <x:v>18</x:v>
      </x:c>
      <x:c r="D106" s="37" t="s">
        <x:v>71</x:v>
      </x:c>
      <x:c r="E106" s="58" t="s">
        <x:v>32</x:v>
      </x:c>
      <x:c r="F106" s="59"/>
      <x:c r="G106" s="60"/>
      <x:c r="H106" s="52" t="s">
        <x:v>28</x:v>
      </x:c>
      <x:c r="I106" s="34"/>
      <x:c r="J106" s="30" t="s">
        <x:v>70</x:v>
      </x:c>
      <x:c r="K106" s="30"/>
      <x:c r="L106" s="34"/>
      <x:c r="M106" s="35"/>
      <x:c r="N106" s="1"/>
      <x:c r="O106" s="1"/>
      <x:c r="P106" s="1"/>
      <x:c r="Q106" s="1"/>
    </x:row>
    <x:row r="107" spans="1:17" ht="16.5" customHeight="1">
      <x:c r="A107" s="1"/>
      <x:c r="B107" s="53"/>
      <x:c r="C107" s="11" t="s">
        <x:v>2</x:v>
      </x:c>
      <x:c r="D107" s="37" t="s">
        <x:v>70</x:v>
      </x:c>
      <x:c r="E107" s="61"/>
      <x:c r="F107" s="58"/>
      <x:c r="G107" s="62"/>
      <x:c r="H107" s="53"/>
      <x:c r="I107" s="34"/>
      <x:c r="J107" s="30" t="s">
        <x:v>70</x:v>
      </x:c>
      <x:c r="K107" s="30"/>
      <x:c r="L107" s="34"/>
      <x:c r="M107" s="35"/>
      <x:c r="N107" s="1"/>
      <x:c r="O107" s="1"/>
      <x:c r="P107" s="1"/>
      <x:c r="Q107" s="1"/>
    </x:row>
    <x:row r="108" spans="1:17" ht="16.5" customHeight="1">
      <x:c r="A108" s="1"/>
      <x:c r="B108" s="53"/>
      <x:c r="C108" s="11" t="s">
        <x:v>11</x:v>
      </x:c>
      <x:c r="D108" s="37" t="s">
        <x:v>70</x:v>
      </x:c>
      <x:c r="E108" s="61"/>
      <x:c r="F108" s="58"/>
      <x:c r="G108" s="62"/>
      <x:c r="H108" s="53"/>
      <x:c r="I108" s="34"/>
      <x:c r="J108" s="30">
        <x:f t="shared" ref="J108:J109" si="52">2000/8</x:f>
        <x:v>250</x:v>
      </x:c>
      <x:c r="K108" s="30" t="s">
        <x:v>79</x:v>
      </x:c>
      <x:c r="L108" s="34"/>
      <x:c r="M108" s="35"/>
      <x:c r="N108" s="1"/>
      <x:c r="O108" s="1"/>
      <x:c r="P108" s="1"/>
      <x:c r="Q108" s="1"/>
    </x:row>
    <x:row r="109" spans="1:17" ht="16.5" customHeight="1">
      <x:c r="A109" s="1"/>
      <x:c r="B109" s="53"/>
      <x:c r="C109" s="11" t="s">
        <x:v>6</x:v>
      </x:c>
      <x:c r="D109" s="37" t="s">
        <x:v>70</x:v>
      </x:c>
      <x:c r="E109" s="61"/>
      <x:c r="F109" s="58"/>
      <x:c r="G109" s="62"/>
      <x:c r="H109" s="53"/>
      <x:c r="I109" s="34"/>
      <x:c r="J109" s="30">
        <x:f t="shared" si="52"/>
        <x:v>250</x:v>
      </x:c>
      <x:c r="K109" s="30" t="s">
        <x:v>79</x:v>
      </x:c>
      <x:c r="L109" s="34"/>
      <x:c r="M109" s="35"/>
      <x:c r="N109" s="1"/>
      <x:c r="O109" s="1"/>
      <x:c r="P109" s="1"/>
      <x:c r="Q109" s="1"/>
    </x:row>
    <x:row r="110" spans="1:17" ht="16.5" customHeight="1">
      <x:c r="A110" s="1"/>
      <x:c r="B110" s="54"/>
      <x:c r="C110" s="11" t="s">
        <x:v>19</x:v>
      </x:c>
      <x:c r="D110" s="37" t="s">
        <x:v>70</x:v>
      </x:c>
      <x:c r="E110" s="63"/>
      <x:c r="F110" s="64"/>
      <x:c r="G110" s="65"/>
      <x:c r="H110" s="54"/>
      <x:c r="I110" s="34"/>
      <x:c r="J110" s="41">
        <x:f>35000/8</x:f>
        <x:v>4375</x:v>
      </x:c>
      <x:c r="K110" s="30" t="s">
        <x:v>80</x:v>
      </x:c>
      <x:c r="L110" s="34"/>
      <x:c r="M110" s="35"/>
      <x:c r="N110" s="1"/>
      <x:c r="O110" s="1"/>
      <x:c r="P110" s="1"/>
      <x:c r="Q110" s="1"/>
    </x:row>
    <x:row r="111" spans="1:17" ht="16.5" customHeight="1">
      <x:c r="A111" s="1"/>
      <x:c r="B111" s="52" t="s">
        <x:v>1</x:v>
      </x:c>
      <x:c r="C111" s="11"/>
      <x:c r="D111" s="55" t="s">
        <x:v>62</x:v>
      </x:c>
      <x:c r="E111" s="56"/>
      <x:c r="F111" s="56"/>
      <x:c r="G111" s="57"/>
      <x:c r="H111" s="1"/>
      <x:c r="I111" s="30"/>
      <x:c r="J111" s="30"/>
      <x:c r="K111" s="1"/>
      <x:c r="L111" s="30"/>
      <x:c r="M111" s="35"/>
      <x:c r="N111" s="1"/>
      <x:c r="O111" s="1"/>
      <x:c r="P111" s="1"/>
      <x:c r="Q111" s="1"/>
    </x:row>
    <x:row r="112" spans="1:17" ht="16.5" customHeight="1">
      <x:c r="A112" s="1"/>
      <x:c r="B112" s="53"/>
      <x:c r="C112" s="11" t="s">
        <x:v>12</x:v>
      </x:c>
      <x:c r="D112" s="36" t="s">
        <x:v>5</x:v>
      </x:c>
      <x:c r="E112" s="36" t="s">
        <x:v>40</x:v>
      </x:c>
      <x:c r="F112" s="36" t="s">
        <x:v>36</x:v>
      </x:c>
      <x:c r="G112" s="36" t="s">
        <x:v>35</x:v>
      </x:c>
      <x:c r="H112" s="29" t="s">
        <x:v>74</x:v>
      </x:c>
      <x:c r="I112" s="30" t="s">
        <x:v>69</x:v>
      </x:c>
      <x:c r="J112" s="30" t="s">
        <x:v>49</x:v>
      </x:c>
      <x:c r="K112" s="29" t="s">
        <x:v>74</x:v>
      </x:c>
      <x:c r="L112" s="30" t="s">
        <x:v>69</x:v>
      </x:c>
      <x:c r="M112" s="35" t="s">
        <x:v>49</x:v>
      </x:c>
      <x:c r="N112" s="1"/>
      <x:c r="O112" s="1"/>
      <x:c r="P112" s="1"/>
      <x:c r="Q112" s="1"/>
    </x:row>
    <x:row r="113" spans="1:17" ht="16.5" customHeight="1">
      <x:c r="A113" s="1"/>
      <x:c r="B113" s="53"/>
      <x:c r="C113" s="11" t="s">
        <x:v>18</x:v>
      </x:c>
      <x:c r="D113" s="39" t="s">
        <x:v>70</x:v>
      </x:c>
      <x:c r="E113" s="39" t="s">
        <x:v>70</x:v>
      </x:c>
      <x:c r="F113" s="39" t="s">
        <x:v>70</x:v>
      </x:c>
      <x:c r="G113" s="40" t="s">
        <x:v>70</x:v>
      </x:c>
      <x:c r="H113" s="52" t="str">
        <x:f>K113</x:f>
        <x:v>미국</x:v>
      </x:c>
      <x:c r="I113" s="34"/>
      <x:c r="J113" s="30" t="s">
        <x:v>70</x:v>
      </x:c>
      <x:c r="K113" s="52" t="s">
        <x:v>75</x:v>
      </x:c>
      <x:c r="L113" s="34"/>
      <x:c r="M113" s="35"/>
      <x:c r="N113" s="1"/>
      <x:c r="O113" s="1"/>
      <x:c r="P113" s="1"/>
      <x:c r="Q113" s="1"/>
    </x:row>
    <x:row r="114" spans="1:17" ht="16.5" customHeight="1">
      <x:c r="A114" s="1"/>
      <x:c r="B114" s="53"/>
      <x:c r="C114" s="11" t="s">
        <x:v>31</x:v>
      </x:c>
      <x:c r="D114" s="39" t="s">
        <x:v>70</x:v>
      </x:c>
      <x:c r="E114" s="39" t="s">
        <x:v>70</x:v>
      </x:c>
      <x:c r="F114" t="s">
        <x:v>70</x:v>
      </x:c>
      <x:c r="G114" s="40" t="s">
        <x:v>70</x:v>
      </x:c>
      <x:c r="H114" s="53"/>
      <x:c r="I114" s="34"/>
      <x:c r="J114" s="30" t="s">
        <x:v>70</x:v>
      </x:c>
      <x:c r="K114" s="53"/>
      <x:c r="L114" s="34"/>
      <x:c r="M114" s="35"/>
      <x:c r="N114" s="1"/>
      <x:c r="O114" s="1"/>
      <x:c r="P114" s="1"/>
      <x:c r="Q114" s="1"/>
    </x:row>
    <x:row r="115" spans="1:17" ht="16.5" customHeight="1">
      <x:c r="A115" s="1"/>
      <x:c r="B115" s="53"/>
      <x:c r="C115" s="11" t="s">
        <x:v>24</x:v>
      </x:c>
      <x:c r="D115" s="39" t="s">
        <x:v>70</x:v>
      </x:c>
      <x:c r="E115" s="39" t="s">
        <x:v>70</x:v>
      </x:c>
      <x:c r="F115" s="42">
        <x:v>2.29</x:v>
      </x:c>
      <x:c r="G115" s="40" t="s">
        <x:v>70</x:v>
      </x:c>
      <x:c r="H115" s="53"/>
      <x:c r="I115" s="34"/>
      <x:c r="J115" s="30">
        <x:v>3</x:v>
      </x:c>
      <x:c r="K115" s="53"/>
      <x:c r="L115" s="34"/>
      <x:c r="M115" s="35"/>
      <x:c r="N115" s="1"/>
      <x:c r="O115" s="1"/>
      <x:c r="P115" s="1"/>
      <x:c r="Q115" s="1"/>
    </x:row>
    <x:row r="116" spans="1:17" ht="16.5" customHeight="1">
      <x:c r="A116" s="1"/>
      <x:c r="B116" s="53"/>
      <x:c r="C116" s="11" t="s">
        <x:v>6</x:v>
      </x:c>
      <x:c r="D116" s="39" t="s">
        <x:v>70</x:v>
      </x:c>
      <x:c r="E116" s="39" t="s">
        <x:v>70</x:v>
      </x:c>
      <x:c r="F116" s="39" t="s">
        <x:v>70</x:v>
      </x:c>
      <x:c r="G116" s="40" t="s">
        <x:v>70</x:v>
      </x:c>
      <x:c r="H116" s="53"/>
      <x:c r="I116" s="34"/>
      <x:c r="J116" s="30" t="s">
        <x:v>70</x:v>
      </x:c>
      <x:c r="K116" s="53"/>
      <x:c r="L116" s="34"/>
      <x:c r="M116" s="35"/>
      <x:c r="N116" s="1"/>
      <x:c r="O116" s="1"/>
      <x:c r="P116" s="1"/>
      <x:c r="Q116" s="1"/>
    </x:row>
    <x:row r="117" spans="1:17" ht="16.5" customHeight="1">
      <x:c r="A117" s="1"/>
      <x:c r="B117" s="54"/>
      <x:c r="C117" s="11" t="s">
        <x:v>19</x:v>
      </x:c>
      <x:c r="D117" s="39" t="s">
        <x:v>70</x:v>
      </x:c>
      <x:c r="E117" s="39" t="s">
        <x:v>70</x:v>
      </x:c>
      <x:c r="F117" s="39" t="s">
        <x:v>70</x:v>
      </x:c>
      <x:c r="G117" s="40" t="s">
        <x:v>70</x:v>
      </x:c>
      <x:c r="H117" s="54"/>
      <x:c r="I117" s="34"/>
      <x:c r="J117" s="30" t="s">
        <x:v>70</x:v>
      </x:c>
      <x:c r="K117" s="54"/>
      <x:c r="L117" s="34"/>
      <x:c r="M117" s="35"/>
      <x:c r="N117" s="1"/>
      <x:c r="O117" s="1"/>
      <x:c r="P117" s="1"/>
      <x:c r="Q117" s="1"/>
    </x:row>
    <x:row r="118" spans="1:17" ht="16.5" customHeight="1">
      <x:c r="A118" s="1"/>
      <x:c r="B118" s="52" t="s">
        <x:v>25</x:v>
      </x:c>
      <x:c r="C118" s="11"/>
      <x:c r="D118" s="55" t="s">
        <x:v>62</x:v>
      </x:c>
      <x:c r="E118" s="56"/>
      <x:c r="F118" s="56"/>
      <x:c r="G118" s="57"/>
      <x:c r="H118" s="1"/>
      <x:c r="I118" s="30"/>
      <x:c r="J118" s="30"/>
      <x:c r="K118" s="1"/>
      <x:c r="L118" s="30"/>
      <x:c r="M118" s="35"/>
      <x:c r="N118" s="1"/>
      <x:c r="O118" s="1"/>
      <x:c r="P118" s="1"/>
      <x:c r="Q118" s="1"/>
    </x:row>
    <x:row r="119" spans="1:17" ht="16.5" customHeight="1">
      <x:c r="A119" s="1"/>
      <x:c r="B119" s="53"/>
      <x:c r="C119" s="11" t="s">
        <x:v>12</x:v>
      </x:c>
      <x:c r="D119" s="26" t="s">
        <x:v>5</x:v>
      </x:c>
      <x:c r="E119" s="26" t="s">
        <x:v>40</x:v>
      </x:c>
      <x:c r="F119" s="26" t="s">
        <x:v>36</x:v>
      </x:c>
      <x:c r="G119" s="26" t="s">
        <x:v>35</x:v>
      </x:c>
      <x:c r="H119" s="29" t="s">
        <x:v>74</x:v>
      </x:c>
      <x:c r="I119" s="30" t="s">
        <x:v>69</x:v>
      </x:c>
      <x:c r="J119" s="30" t="s">
        <x:v>49</x:v>
      </x:c>
      <x:c r="K119" s="29" t="s">
        <x:v>74</x:v>
      </x:c>
      <x:c r="L119" s="30" t="s">
        <x:v>69</x:v>
      </x:c>
      <x:c r="M119" s="35" t="s">
        <x:v>49</x:v>
      </x:c>
      <x:c r="N119" s="1"/>
      <x:c r="O119" s="1"/>
      <x:c r="P119" s="1"/>
      <x:c r="Q119" s="1"/>
    </x:row>
    <x:row r="120" spans="1:17" ht="16.5" customHeight="1">
      <x:c r="A120" s="1"/>
      <x:c r="B120" s="53"/>
      <x:c r="C120" s="11" t="s">
        <x:v>18</x:v>
      </x:c>
      <x:c r="D120" s="39" t="s">
        <x:v>70</x:v>
      </x:c>
      <x:c r="E120" s="39" t="s">
        <x:v>70</x:v>
      </x:c>
      <x:c r="F120" s="39" t="s">
        <x:v>70</x:v>
      </x:c>
      <x:c r="G120" s="39" t="s">
        <x:v>70</x:v>
      </x:c>
      <x:c r="H120" s="69" t="s">
        <x:v>34</x:v>
      </x:c>
      <x:c r="I120" s="34"/>
      <x:c r="J120" s="30" t="s">
        <x:v>70</x:v>
      </x:c>
      <x:c r="K120" s="52" t="s">
        <x:v>81</x:v>
      </x:c>
      <x:c r="L120" s="34"/>
      <x:c r="M120" s="35" t="s">
        <x:v>70</x:v>
      </x:c>
      <x:c r="N120" s="1"/>
      <x:c r="O120" s="1"/>
      <x:c r="P120" s="1"/>
      <x:c r="Q120" s="1"/>
    </x:row>
    <x:row r="121" spans="1:17" ht="16.5" customHeight="1">
      <x:c r="A121" s="1"/>
      <x:c r="B121" s="53"/>
      <x:c r="C121" s="11" t="s">
        <x:v>2</x:v>
      </x:c>
      <x:c r="D121" s="39" t="s">
        <x:v>70</x:v>
      </x:c>
      <x:c r="E121" s="39" t="s">
        <x:v>70</x:v>
      </x:c>
      <x:c r="F121" s="39" t="s">
        <x:v>70</x:v>
      </x:c>
      <x:c r="G121" s="39" t="s">
        <x:v>70</x:v>
      </x:c>
      <x:c r="H121" s="62"/>
      <x:c r="I121" s="34"/>
      <x:c r="J121" s="30" t="s">
        <x:v>70</x:v>
      </x:c>
      <x:c r="K121" s="53"/>
      <x:c r="L121" s="34"/>
      <x:c r="M121" s="35" t="s">
        <x:v>70</x:v>
      </x:c>
      <x:c r="N121" s="1"/>
      <x:c r="O121" s="1"/>
      <x:c r="P121" s="1"/>
      <x:c r="Q121" s="1"/>
    </x:row>
    <x:row r="122" spans="1:17" ht="16.5" customHeight="1">
      <x:c r="A122" s="1"/>
      <x:c r="B122" s="53"/>
      <x:c r="C122" s="43" t="s">
        <x:v>29</x:v>
      </x:c>
      <x:c r="D122" s="44">
        <x:v>3.3900000000000001</x:v>
      </x:c>
      <x:c r="E122" s="40">
        <x:v>19750.32</x:v>
      </x:c>
      <x:c r="F122" s="39">
        <x:f>E122*6</x:f>
        <x:v>118501.92</x:v>
      </x:c>
      <x:c r="G122" s="45">
        <x:f>E122*12</x:f>
        <x:v>237003.84</x:v>
      </x:c>
      <x:c r="H122" s="62"/>
      <x:c r="I122" s="34"/>
      <x:c r="J122" s="30">
        <x:v>14</x:v>
      </x:c>
      <x:c r="K122" s="53"/>
      <x:c r="L122" s="34"/>
      <x:c r="M122" s="35">
        <x:f>J122</x:f>
        <x:v>14</x:v>
      </x:c>
      <x:c r="N122" s="1"/>
      <x:c r="O122" s="1"/>
      <x:c r="P122" s="1"/>
      <x:c r="Q122" s="1"/>
    </x:row>
    <x:row r="123" spans="1:17" ht="16.5" customHeight="1">
      <x:c r="A123" s="1"/>
      <x:c r="B123" s="53"/>
      <x:c r="C123" s="11" t="s">
        <x:v>6</x:v>
      </x:c>
      <x:c r="D123" s="39" t="s">
        <x:v>70</x:v>
      </x:c>
      <x:c r="E123" s="39" t="s">
        <x:v>70</x:v>
      </x:c>
      <x:c r="F123" s="39" t="s">
        <x:v>70</x:v>
      </x:c>
      <x:c r="G123" s="39" t="s">
        <x:v>70</x:v>
      </x:c>
      <x:c r="H123" s="62"/>
      <x:c r="I123" s="34"/>
      <x:c r="J123" s="30" t="s">
        <x:v>70</x:v>
      </x:c>
      <x:c r="K123" s="53"/>
      <x:c r="L123" s="34"/>
      <x:c r="M123" s="35" t="s">
        <x:v>70</x:v>
      </x:c>
      <x:c r="N123" s="1"/>
      <x:c r="O123" s="1"/>
      <x:c r="P123" s="1"/>
      <x:c r="Q123" s="1"/>
    </x:row>
    <x:row r="124" spans="1:17" ht="16.5" customHeight="1">
      <x:c r="A124" s="1"/>
      <x:c r="B124" s="54"/>
      <x:c r="C124" s="11" t="s">
        <x:v>19</x:v>
      </x:c>
      <x:c r="D124" s="39" t="s">
        <x:v>70</x:v>
      </x:c>
      <x:c r="E124" s="39" t="s">
        <x:v>70</x:v>
      </x:c>
      <x:c r="F124" s="39" t="s">
        <x:v>70</x:v>
      </x:c>
      <x:c r="G124" s="39" t="s">
        <x:v>70</x:v>
      </x:c>
      <x:c r="H124" s="65"/>
      <x:c r="I124" s="34"/>
      <x:c r="J124" s="30" t="s">
        <x:v>70</x:v>
      </x:c>
      <x:c r="K124" s="54"/>
      <x:c r="L124" s="34"/>
      <x:c r="M124" s="35" t="str">
        <x:f>J124</x:f>
        <x:v>X</x:v>
      </x:c>
      <x:c r="N124" s="1"/>
      <x:c r="O124" s="1"/>
      <x:c r="P124" s="1"/>
      <x:c r="Q124" s="1"/>
    </x:row>
    <x:row r="125" spans="1:17" ht="16.5" customHeight="1">
      <x:c r="A125" s="1"/>
      <x:c r="B125" s="52" t="s">
        <x:v>26</x:v>
      </x:c>
      <x:c r="C125" s="11"/>
      <x:c r="D125" s="55" t="s">
        <x:v>62</x:v>
      </x:c>
      <x:c r="E125" s="56"/>
      <x:c r="F125" s="56"/>
      <x:c r="G125" s="57"/>
      <x:c r="H125" s="1"/>
      <x:c r="I125" s="30"/>
      <x:c r="J125" s="30"/>
      <x:c r="K125" s="1"/>
      <x:c r="L125" s="30"/>
      <x:c r="M125" s="35"/>
      <x:c r="N125" s="1"/>
      <x:c r="O125" s="1"/>
      <x:c r="P125" s="1"/>
      <x:c r="Q125" s="1"/>
    </x:row>
    <x:row r="126" spans="1:17" ht="16.5" customHeight="1">
      <x:c r="A126" s="1"/>
      <x:c r="B126" s="53"/>
      <x:c r="C126" s="11" t="s">
        <x:v>12</x:v>
      </x:c>
      <x:c r="D126" s="26" t="s">
        <x:v>5</x:v>
      </x:c>
      <x:c r="E126" s="26" t="s">
        <x:v>40</x:v>
      </x:c>
      <x:c r="F126" s="26" t="s">
        <x:v>36</x:v>
      </x:c>
      <x:c r="G126" s="26" t="s">
        <x:v>35</x:v>
      </x:c>
      <x:c r="H126" s="29" t="s">
        <x:v>74</x:v>
      </x:c>
      <x:c r="I126" s="30" t="s">
        <x:v>69</x:v>
      </x:c>
      <x:c r="J126" s="30" t="s">
        <x:v>49</x:v>
      </x:c>
      <x:c r="K126" s="29" t="s">
        <x:v>74</x:v>
      </x:c>
      <x:c r="L126" s="30" t="s">
        <x:v>69</x:v>
      </x:c>
      <x:c r="M126" s="35" t="s">
        <x:v>49</x:v>
      </x:c>
      <x:c r="N126" s="1"/>
      <x:c r="O126" s="1"/>
      <x:c r="P126" s="1"/>
      <x:c r="Q126" s="1"/>
    </x:row>
    <x:row r="127" spans="1:17" ht="16.5" customHeight="1">
      <x:c r="A127" s="1"/>
      <x:c r="B127" s="53"/>
      <x:c r="C127" s="11" t="s">
        <x:v>18</x:v>
      </x:c>
      <x:c r="D127" s="39" t="s">
        <x:v>70</x:v>
      </x:c>
      <x:c r="E127" s="39" t="s">
        <x:v>70</x:v>
      </x:c>
      <x:c r="F127" s="39" t="s">
        <x:v>70</x:v>
      </x:c>
      <x:c r="G127" s="39" t="s">
        <x:v>70</x:v>
      </x:c>
      <x:c r="H127" s="69" t="s">
        <x:v>82</x:v>
      </x:c>
      <x:c r="I127" s="34"/>
      <x:c r="J127" s="30" t="s">
        <x:v>70</x:v>
      </x:c>
      <x:c r="K127" s="52" t="s">
        <x:v>27</x:v>
      </x:c>
      <x:c r="L127" s="34"/>
      <x:c r="M127" s="35"/>
      <x:c r="N127" s="1"/>
      <x:c r="O127" s="1"/>
      <x:c r="P127" s="1"/>
      <x:c r="Q127" s="1"/>
    </x:row>
    <x:row r="128" spans="1:17" ht="21.75" customHeight="1">
      <x:c r="A128" s="1"/>
      <x:c r="B128" s="53"/>
      <x:c r="C128" s="11" t="s">
        <x:v>2</x:v>
      </x:c>
      <x:c r="D128" s="46" t="s">
        <x:v>52</x:v>
      </x:c>
      <x:c r="E128" s="46" t="s">
        <x:v>52</x:v>
      </x:c>
      <x:c r="F128" s="46" t="s">
        <x:v>52</x:v>
      </x:c>
      <x:c r="G128" s="46" t="s">
        <x:v>52</x:v>
      </x:c>
      <x:c r="H128" s="62"/>
      <x:c r="I128" s="47"/>
      <x:c r="J128" s="30">
        <x:f>512/8</x:f>
        <x:v>64</x:v>
      </x:c>
      <x:c r="K128" s="53"/>
      <x:c r="L128" s="34"/>
      <x:c r="M128" s="35"/>
      <x:c r="N128" s="1"/>
      <x:c r="O128" s="1"/>
      <x:c r="P128" s="1"/>
      <x:c r="Q128" s="1"/>
    </x:row>
    <x:row r="129" spans="1:17" ht="16.5" customHeight="1">
      <x:c r="A129" s="1"/>
      <x:c r="B129" s="53"/>
      <x:c r="C129" s="11" t="s">
        <x:v>11</x:v>
      </x:c>
      <x:c r="D129" s="39" t="s">
        <x:v>70</x:v>
      </x:c>
      <x:c r="E129" s="39" t="s">
        <x:v>70</x:v>
      </x:c>
      <x:c r="F129" s="39" t="s">
        <x:v>70</x:v>
      </x:c>
      <x:c r="G129" s="39" t="s">
        <x:v>70</x:v>
      </x:c>
      <x:c r="H129" s="62"/>
      <x:c r="I129" s="34"/>
      <x:c r="J129" s="30" t="s">
        <x:v>70</x:v>
      </x:c>
      <x:c r="K129" s="53"/>
      <x:c r="L129" s="34"/>
      <x:c r="M129" s="35"/>
      <x:c r="N129" s="1"/>
      <x:c r="O129" s="1"/>
      <x:c r="P129" s="1"/>
      <x:c r="Q129" s="1"/>
    </x:row>
    <x:row r="130" spans="1:17" ht="16.5" customHeight="1">
      <x:c r="A130" s="1"/>
      <x:c r="B130" s="53"/>
      <x:c r="C130" s="11" t="s">
        <x:v>6</x:v>
      </x:c>
      <x:c r="D130" s="39" t="s">
        <x:v>70</x:v>
      </x:c>
      <x:c r="E130" s="39" t="s">
        <x:v>70</x:v>
      </x:c>
      <x:c r="F130" s="39" t="s">
        <x:v>70</x:v>
      </x:c>
      <x:c r="G130" s="39" t="s">
        <x:v>70</x:v>
      </x:c>
      <x:c r="H130" s="62"/>
      <x:c r="I130" s="34"/>
      <x:c r="J130" s="30" t="s">
        <x:v>70</x:v>
      </x:c>
      <x:c r="K130" s="53"/>
      <x:c r="L130" s="34"/>
      <x:c r="M130" s="35"/>
      <x:c r="N130" s="1"/>
      <x:c r="O130" s="1"/>
      <x:c r="P130" s="1"/>
      <x:c r="Q130" s="1"/>
    </x:row>
    <x:row r="131" spans="1:17" ht="16.5" customHeight="1">
      <x:c r="A131" s="1"/>
      <x:c r="B131" s="54"/>
      <x:c r="C131" s="11" t="s">
        <x:v>19</x:v>
      </x:c>
      <x:c r="D131" s="39" t="s">
        <x:v>70</x:v>
      </x:c>
      <x:c r="E131" s="39" t="s">
        <x:v>70</x:v>
      </x:c>
      <x:c r="F131" s="39" t="s">
        <x:v>70</x:v>
      </x:c>
      <x:c r="G131" s="39" t="s">
        <x:v>70</x:v>
      </x:c>
      <x:c r="H131" s="65"/>
      <x:c r="I131" s="34"/>
      <x:c r="J131" s="30">
        <x:v>1</x:v>
      </x:c>
      <x:c r="K131" s="54"/>
      <x:c r="L131" s="34"/>
      <x:c r="M131" s="35"/>
      <x:c r="N131" s="1"/>
      <x:c r="O131" s="1"/>
      <x:c r="P131" s="1"/>
      <x:c r="Q131" s="1"/>
    </x:row>
    <x:row r="132" spans="1:17" ht="16.5" customHeight="1">
      <x:c r="A132" s="1"/>
      <x:c r="B132" s="52" t="s">
        <x:v>78</x:v>
      </x:c>
      <x:c r="C132" s="11"/>
      <x:c r="D132" s="55" t="s">
        <x:v>62</x:v>
      </x:c>
      <x:c r="E132" s="56"/>
      <x:c r="F132" s="56"/>
      <x:c r="G132" s="57"/>
      <x:c r="H132" s="1"/>
      <x:c r="I132" s="30"/>
      <x:c r="J132" s="30"/>
      <x:c r="K132" s="1"/>
      <x:c r="L132" s="30"/>
      <x:c r="M132" s="35"/>
      <x:c r="N132" s="1"/>
      <x:c r="O132" s="1"/>
      <x:c r="P132" s="1"/>
      <x:c r="Q132" s="1"/>
    </x:row>
    <x:row r="133" spans="1:17" ht="16.5" customHeight="1">
      <x:c r="A133" s="1"/>
      <x:c r="B133" s="53"/>
      <x:c r="C133" s="11" t="s">
        <x:v>12</x:v>
      </x:c>
      <x:c r="D133" s="26" t="s">
        <x:v>5</x:v>
      </x:c>
      <x:c r="E133" s="26" t="s">
        <x:v>40</x:v>
      </x:c>
      <x:c r="F133" s="26" t="s">
        <x:v>36</x:v>
      </x:c>
      <x:c r="G133" s="26" t="s">
        <x:v>35</x:v>
      </x:c>
      <x:c r="H133" s="29" t="s">
        <x:v>74</x:v>
      </x:c>
      <x:c r="I133" s="30" t="s">
        <x:v>69</x:v>
      </x:c>
      <x:c r="J133" s="30" t="s">
        <x:v>49</x:v>
      </x:c>
      <x:c r="K133" s="29" t="s">
        <x:v>74</x:v>
      </x:c>
      <x:c r="L133" s="30" t="s">
        <x:v>69</x:v>
      </x:c>
      <x:c r="M133" s="35" t="s">
        <x:v>49</x:v>
      </x:c>
      <x:c r="N133" s="1"/>
      <x:c r="O133" s="1"/>
      <x:c r="P133" s="1"/>
      <x:c r="Q133" s="1"/>
    </x:row>
    <x:row r="134" spans="1:17" ht="16.5" customHeight="1">
      <x:c r="A134" s="1"/>
      <x:c r="B134" s="53"/>
      <x:c r="C134" s="11" t="s">
        <x:v>18</x:v>
      </x:c>
      <x:c r="D134" s="39" t="s">
        <x:v>70</x:v>
      </x:c>
      <x:c r="E134" s="39" t="s">
        <x:v>70</x:v>
      </x:c>
      <x:c r="F134" s="39" t="s">
        <x:v>70</x:v>
      </x:c>
      <x:c r="G134" s="39" t="s">
        <x:v>70</x:v>
      </x:c>
      <x:c r="H134" s="70" t="s">
        <x:v>81</x:v>
      </x:c>
      <x:c r="I134" s="34"/>
      <x:c r="J134" s="30" t="s">
        <x:v>70</x:v>
      </x:c>
      <x:c r="K134" s="52" t="s">
        <x:v>81</x:v>
      </x:c>
      <x:c r="L134" s="34"/>
      <x:c r="M134" s="35" t="s">
        <x:v>70</x:v>
      </x:c>
      <x:c r="N134" s="1"/>
      <x:c r="O134" s="1"/>
      <x:c r="P134" s="1"/>
      <x:c r="Q134" s="1"/>
    </x:row>
    <x:row r="135" spans="1:17" ht="16.5" customHeight="1">
      <x:c r="A135" s="1"/>
      <x:c r="B135" s="53"/>
      <x:c r="C135" s="11" t="s">
        <x:v>2</x:v>
      </x:c>
      <x:c r="D135" s="39" t="s">
        <x:v>70</x:v>
      </x:c>
      <x:c r="E135" s="39" t="s">
        <x:v>70</x:v>
      </x:c>
      <x:c r="F135" s="39" t="s">
        <x:v>70</x:v>
      </x:c>
      <x:c r="G135" s="39" t="s">
        <x:v>70</x:v>
      </x:c>
      <x:c r="H135" s="53"/>
      <x:c r="I135" s="34"/>
      <x:c r="J135" s="30" t="s">
        <x:v>70</x:v>
      </x:c>
      <x:c r="K135" s="53"/>
      <x:c r="L135" s="34"/>
      <x:c r="M135" s="35" t="s">
        <x:v>70</x:v>
      </x:c>
      <x:c r="N135" s="1"/>
      <x:c r="O135" s="1"/>
      <x:c r="P135" s="1"/>
      <x:c r="Q135" s="1"/>
    </x:row>
    <x:row r="136" spans="1:17" ht="16.5" customHeight="1">
      <x:c r="A136" s="1"/>
      <x:c r="B136" s="53"/>
      <x:c r="C136" s="11" t="s">
        <x:v>29</x:v>
      </x:c>
      <x:c r="D136" s="39" t="s">
        <x:v>70</x:v>
      </x:c>
      <x:c r="E136" s="39" t="s">
        <x:v>70</x:v>
      </x:c>
      <x:c r="F136" s="39" t="s">
        <x:v>70</x:v>
      </x:c>
      <x:c r="G136" s="40" t="s">
        <x:v>70</x:v>
      </x:c>
      <x:c r="H136" s="53"/>
      <x:c r="I136" s="34"/>
      <x:c r="J136" s="30" t="s">
        <x:v>70</x:v>
      </x:c>
      <x:c r="K136" s="53"/>
      <x:c r="L136" s="34"/>
      <x:c r="M136" s="35" t="str">
        <x:f>J136</x:f>
        <x:v>X</x:v>
      </x:c>
      <x:c r="N136" s="1"/>
      <x:c r="O136" s="1"/>
      <x:c r="P136" s="1"/>
      <x:c r="Q136" s="1"/>
    </x:row>
    <x:row r="137" spans="1:17" ht="16.5" customHeight="1">
      <x:c r="A137" s="1"/>
      <x:c r="B137" s="53"/>
      <x:c r="C137" s="11" t="s">
        <x:v>6</x:v>
      </x:c>
      <x:c r="D137" s="39" t="s">
        <x:v>70</x:v>
      </x:c>
      <x:c r="E137" s="48">
        <x:v>17000</x:v>
      </x:c>
      <x:c r="F137" s="39">
        <x:f>E137*6</x:f>
        <x:v>102000</x:v>
      </x:c>
      <x:c r="G137" s="49">
        <x:f>E137*12</x:f>
        <x:v>204000</x:v>
      </x:c>
      <x:c r="H137" s="53"/>
      <x:c r="I137" s="34"/>
      <x:c r="J137" s="30">
        <x:v>1</x:v>
      </x:c>
      <x:c r="K137" s="53"/>
      <x:c r="L137" s="34"/>
      <x:c r="M137" s="35"/>
      <x:c r="N137" s="1"/>
      <x:c r="O137" s="1"/>
      <x:c r="P137" s="1"/>
      <x:c r="Q137" s="1"/>
    </x:row>
    <x:row r="138" spans="1:17" ht="16.5" customHeight="1">
      <x:c r="A138" s="1"/>
      <x:c r="B138" s="54"/>
      <x:c r="C138" s="11" t="s">
        <x:v>19</x:v>
      </x:c>
      <x:c r="D138" s="39" t="s">
        <x:v>70</x:v>
      </x:c>
      <x:c r="E138" s="39" t="s">
        <x:v>70</x:v>
      </x:c>
      <x:c r="F138" s="39" t="s">
        <x:v>70</x:v>
      </x:c>
      <x:c r="G138" s="39" t="s">
        <x:v>70</x:v>
      </x:c>
      <x:c r="H138" s="54"/>
      <x:c r="I138" s="34"/>
      <x:c r="J138" s="30" t="s">
        <x:v>70</x:v>
      </x:c>
      <x:c r="K138" s="54"/>
      <x:c r="L138" s="34"/>
      <x:c r="M138" s="35" t="str">
        <x:f>J138</x:f>
        <x:v>X</x:v>
      </x:c>
      <x:c r="N138" s="1"/>
      <x:c r="O138" s="1"/>
      <x:c r="P138" s="1"/>
      <x:c r="Q138" s="1"/>
    </x:row>
  </x:sheetData>
  <x:mergeCells count="59">
    <x:mergeCell ref="B69:B75"/>
    <x:mergeCell ref="D69:G69"/>
    <x:mergeCell ref="D62:G62"/>
    <x:mergeCell ref="D111:G111"/>
    <x:mergeCell ref="D104:G104"/>
    <x:mergeCell ref="E106:G110"/>
    <x:mergeCell ref="B104:B110"/>
    <x:mergeCell ref="B97:B103"/>
    <x:mergeCell ref="B62:B68"/>
    <x:mergeCell ref="B90:B96"/>
    <x:mergeCell ref="B48:B54"/>
    <x:mergeCell ref="D48:G48"/>
    <x:mergeCell ref="D132:G132"/>
    <x:mergeCell ref="D125:G125"/>
    <x:mergeCell ref="D118:G118"/>
    <x:mergeCell ref="D83:G83"/>
    <x:mergeCell ref="D90:G90"/>
    <x:mergeCell ref="B83:B89"/>
    <x:mergeCell ref="B125:B131"/>
    <x:mergeCell ref="D76:G76"/>
    <x:mergeCell ref="D97:G97"/>
    <x:mergeCell ref="B111:B117"/>
    <x:mergeCell ref="D25:G25"/>
    <x:mergeCell ref="J25:M25"/>
    <x:mergeCell ref="D5:G5"/>
    <x:mergeCell ref="D35:G35"/>
    <x:mergeCell ref="B15:B23"/>
    <x:mergeCell ref="J5:M5"/>
    <x:mergeCell ref="B5:B13"/>
    <x:mergeCell ref="B25:B33"/>
    <x:mergeCell ref="J35:M35"/>
    <x:mergeCell ref="H57:H61"/>
    <x:mergeCell ref="D55:G55"/>
    <x:mergeCell ref="B132:B138"/>
    <x:mergeCell ref="B118:B124"/>
    <x:mergeCell ref="H99:H103"/>
    <x:mergeCell ref="H71:H75"/>
    <x:mergeCell ref="H78:H82"/>
    <x:mergeCell ref="H92:H96"/>
    <x:mergeCell ref="H50:H54"/>
    <x:mergeCell ref="H64:H68"/>
    <x:mergeCell ref="H85:H89"/>
    <x:mergeCell ref="B55:B61"/>
    <x:mergeCell ref="B76:B82"/>
    <x:mergeCell ref="B35:B43"/>
    <x:mergeCell ref="H120:H124"/>
    <x:mergeCell ref="H106:H110"/>
    <x:mergeCell ref="H113:H117"/>
    <x:mergeCell ref="H127:H131"/>
    <x:mergeCell ref="H134:H138"/>
    <x:mergeCell ref="K120:K124"/>
    <x:mergeCell ref="K127:K131"/>
    <x:mergeCell ref="K92:K96"/>
    <x:mergeCell ref="K113:K117"/>
    <x:mergeCell ref="K134:K138"/>
    <x:mergeCell ref="K85:K89"/>
    <x:mergeCell ref="K99:K103"/>
    <x:mergeCell ref="D15:G15"/>
    <x:mergeCell ref="J15:M15"/>
  </x:mergeCells>
  <x:hyperlinks>
    <x:hyperlink ref="T26:T26" r:id="rId1"/>
    <x:hyperlink ref="T27:T27" r:id="rId2"/>
    <x:hyperlink ref="T28:T28" r:id="rId3"/>
    <x:hyperlink ref="T30:T30" r:id="rId4"/>
    <x:hyperlink ref="T31:T31" r:id="rId5"/>
    <x:hyperlink ref="T33:T33" r:id="rId6"/>
    <x:hyperlink ref="T34:T34" r:id="rId7"/>
  </x:hyperlinks>
  <x:pageMargins left="0.69999998807907104492" right="0.69999998807907104492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legacyDrawing r:id="rId8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O100"/>
  <x:sheetViews>
    <x:sheetView topLeftCell="A1" zoomScaleNormal="100" zoomScaleSheetLayoutView="180" workbookViewId="0">
      <x:selection activeCell="A1" activeCellId="0" sqref="A1:A1"/>
    </x:sheetView>
  </x:sheetViews>
  <x:sheetFormatPr defaultColWidth="14.4296875" defaultRowHeight="15" customHeight="1"/>
  <x:cols>
    <x:col min="1" max="1" width="2.70703125" customWidth="1"/>
    <x:col min="2" max="2" width="15.13671875" customWidth="1"/>
    <x:col min="3" max="3" width="21" customWidth="1"/>
    <x:col min="4" max="4" width="13.56640625" customWidth="1"/>
    <x:col min="5" max="6" width="17.70703125" customWidth="1"/>
    <x:col min="7" max="7" width="18.859375" customWidth="1"/>
    <x:col min="8" max="8" width="8.70703125" customWidth="1"/>
    <x:col min="9" max="9" width="11.56640625" customWidth="1"/>
    <x:col min="10" max="10" width="21" customWidth="1"/>
    <x:col min="11" max="11" width="17.56640625" customWidth="1"/>
    <x:col min="12" max="12" width="18.70703125" customWidth="1"/>
    <x:col min="13" max="15" width="8.70703125" customWidth="1"/>
  </x:cols>
  <x:sheetData>
    <x:row r="1" spans="1:12" ht="16.5" customHeight="1">
      <x:c r="A1" s="1"/>
      <x:c r="B1" s="1"/>
      <x:c r="C1" s="1"/>
      <x:c r="D1" s="1"/>
      <x:c r="E1" s="1"/>
      <x:c r="F1" s="1"/>
      <x:c r="G1" s="1"/>
      <x:c r="I1" s="1"/>
      <x:c r="J1" s="1"/>
      <x:c r="K1" s="1"/>
      <x:c r="L1" s="1"/>
    </x:row>
    <x:row r="2" spans="1:12" ht="16.5" customHeight="1">
      <x:c r="A2" s="1"/>
      <x:c r="B2" s="1"/>
      <x:c r="C2" s="1"/>
      <x:c r="D2" s="1"/>
      <x:c r="E2" s="1"/>
      <x:c r="F2" s="1"/>
      <x:c r="G2" s="1"/>
      <x:c r="I2" s="1"/>
      <x:c r="J2" s="1"/>
      <x:c r="K2" s="1"/>
      <x:c r="L2" s="1"/>
    </x:row>
    <x:row r="3" spans="1:12" ht="16.5" customHeight="1">
      <x:c r="A3" s="1"/>
      <x:c r="B3" s="1"/>
      <x:c r="C3" t="s">
        <x:v>64</x:v>
      </x:c>
      <x:c r="D3">
        <x:v>1500</x:v>
      </x:c>
      <x:c r="E3" s="1"/>
      <x:c r="F3" s="1"/>
      <x:c r="G3" s="1"/>
      <x:c r="I3" s="1"/>
      <x:c r="J3" s="1"/>
      <x:c r="K3" s="1"/>
      <x:c r="L3" s="1"/>
    </x:row>
    <x:row r="4" spans="1:12" ht="16.5" customHeight="1">
      <x:c r="A4" s="1"/>
      <x:c r="B4" s="1"/>
      <x:c r="C4" s="1"/>
      <x:c r="D4" s="1"/>
      <x:c r="E4" s="1"/>
      <x:c r="F4" s="1"/>
      <x:c r="G4" s="1"/>
      <x:c r="I4" s="1"/>
      <x:c r="J4" s="1"/>
      <x:c r="K4" s="1"/>
      <x:c r="L4" s="1"/>
    </x:row>
    <x:row r="5" spans="1:15" ht="16.5" customHeight="1">
      <x:c r="A5" s="1"/>
      <x:c r="B5" s="71" t="s">
        <x:v>72</x:v>
      </x:c>
      <x:c r="C5" s="4"/>
      <x:c r="D5" s="55" t="s">
        <x:v>62</x:v>
      </x:c>
      <x:c r="E5" s="56"/>
      <x:c r="F5" s="56"/>
      <x:c r="G5" s="57"/>
      <x:c r="I5" s="1"/>
      <x:c r="J5" s="17" t="s">
        <x:v>20</x:v>
      </x:c>
      <x:c r="K5" s="17" t="s">
        <x:v>56</x:v>
      </x:c>
      <x:c r="L5" s="17" t="s">
        <x:v>54</x:v>
      </x:c>
      <x:c r="M5" s="17" t="s">
        <x:v>68</x:v>
      </x:c>
      <x:c r="N5" s="17" t="s">
        <x:v>53</x:v>
      </x:c>
      <x:c r="O5" s="17" t="s">
        <x:v>63</x:v>
      </x:c>
    </x:row>
    <x:row r="6" spans="1:15" ht="16.5" customHeight="1">
      <x:c r="A6" s="1"/>
      <x:c r="B6" s="53"/>
      <x:c r="C6" s="6" t="s">
        <x:v>12</x:v>
      </x:c>
      <x:c r="D6" s="7" t="s">
        <x:v>5</x:v>
      </x:c>
      <x:c r="E6" s="8" t="s">
        <x:v>40</x:v>
      </x:c>
      <x:c r="F6" s="8" t="s">
        <x:v>36</x:v>
      </x:c>
      <x:c r="G6" s="8" t="s">
        <x:v>35</x:v>
      </x:c>
      <x:c r="I6" s="1"/>
      <x:c r="J6" s="17">
        <x:v>1</x:v>
      </x:c>
      <x:c r="K6" s="17" t="s">
        <x:v>51</x:v>
      </x:c>
      <x:c r="L6" s="17" t="s">
        <x:v>60</x:v>
      </x:c>
      <x:c r="M6" s="17" t="s">
        <x:v>23</x:v>
      </x:c>
      <x:c r="N6" s="17" t="s">
        <x:v>0</x:v>
      </x:c>
      <x:c r="O6" s="23" t="s">
        <x:v>33</x:v>
      </x:c>
    </x:row>
    <x:row r="7" spans="1:15" ht="16.5" customHeight="1">
      <x:c r="A7" s="1"/>
      <x:c r="B7" s="53"/>
      <x:c r="C7" s="11" t="s">
        <x:v>77</x:v>
      </x:c>
      <x:c r="D7" s="12">
        <x:v>7000000</x:v>
      </x:c>
      <x:c r="E7" s="12">
        <x:f t="shared" ref="E7:E8" si="0">D7*0.85</x:f>
        <x:v>5950000</x:v>
      </x:c>
      <x:c r="F7" s="12">
        <x:f t="shared" ref="F7:F8" si="1">D7*0.7</x:f>
        <x:v>4900000</x:v>
      </x:c>
      <x:c r="G7" s="12">
        <x:f t="shared" ref="G7:G8" si="2">D7*0.5</x:f>
        <x:v>3500000</x:v>
      </x:c>
      <x:c r="I7" s="1"/>
      <x:c r="J7" s="17">
        <x:v>2</x:v>
      </x:c>
      <x:c r="K7" s="17" t="s">
        <x:v>55</x:v>
      </x:c>
      <x:c r="L7" s="17" t="s">
        <x:v>61</x:v>
      </x:c>
      <x:c r="M7" s="17" t="s">
        <x:v>9</x:v>
      </x:c>
      <x:c r="N7" s="17" t="s">
        <x:v>21</x:v>
      </x:c>
      <x:c r="O7" s="23" t="s">
        <x:v>7</x:v>
      </x:c>
    </x:row>
    <x:row r="8" spans="1:15" ht="16.5" customHeight="1">
      <x:c r="A8" s="1"/>
      <x:c r="B8" s="53"/>
      <x:c r="C8" s="11" t="s">
        <x:v>66</x:v>
      </x:c>
      <x:c r="D8" s="12">
        <x:v>8000000</x:v>
      </x:c>
      <x:c r="E8" s="12">
        <x:f t="shared" si="0"/>
        <x:v>6800000</x:v>
      </x:c>
      <x:c r="F8" s="12">
        <x:f t="shared" si="1"/>
        <x:v>5600000</x:v>
      </x:c>
      <x:c r="G8" s="12">
        <x:f t="shared" si="2"/>
        <x:v>4000000</x:v>
      </x:c>
      <x:c r="I8" s="1"/>
      <x:c r="J8" s="17">
        <x:v>3</x:v>
      </x:c>
      <x:c r="K8" s="17" t="s">
        <x:v>17</x:v>
      </x:c>
      <x:c r="L8" s="17" t="s">
        <x:v>65</x:v>
      </x:c>
      <x:c r="M8" s="17" t="s">
        <x:v>13</x:v>
      </x:c>
      <x:c r="N8" s="17" t="s">
        <x:v>8</x:v>
      </x:c>
      <x:c r="O8" s="23" t="s">
        <x:v>45</x:v>
      </x:c>
    </x:row>
    <x:row r="9" spans="1:15" ht="16.5" customHeight="1">
      <x:c r="A9" s="1"/>
      <x:c r="B9" s="53"/>
      <x:c r="C9" s="11" t="s">
        <x:v>18</x:v>
      </x:c>
      <x:c r="D9" s="12">
        <x:v>9140000</x:v>
      </x:c>
      <x:c r="E9" s="12">
        <x:v>7770000</x:v>
      </x:c>
      <x:c r="F9" s="12">
        <x:v>6400000</x:v>
      </x:c>
      <x:c r="G9" s="12">
        <x:v>4570000</x:v>
      </x:c>
      <x:c r="I9" s="1"/>
      <x:c r="J9" s="17">
        <x:v>4</x:v>
      </x:c>
      <x:c r="K9" s="17" t="s">
        <x:v>58</x:v>
      </x:c>
      <x:c r="L9" s="17"/>
      <x:c r="M9" s="17"/>
      <x:c r="N9" s="17"/>
      <x:c r="O9" s="17"/>
    </x:row>
    <x:row r="10" spans="1:15" ht="16.5" customHeight="1">
      <x:c r="A10" s="1"/>
      <x:c r="B10" s="53"/>
      <x:c r="C10" s="11" t="s">
        <x:v>2</x:v>
      </x:c>
      <x:c r="D10" s="15">
        <x:v>23800000</x:v>
      </x:c>
      <x:c r="E10" s="15">
        <x:v>20000000</x:v>
      </x:c>
      <x:c r="F10" s="15">
        <x:v>19000000</x:v>
      </x:c>
      <x:c r="G10" s="15">
        <x:v>16000000</x:v>
      </x:c>
      <x:c r="I10" s="1"/>
      <x:c r="J10" s="17">
        <x:v>5</x:v>
      </x:c>
      <x:c r="K10" s="17" t="s">
        <x:v>22</x:v>
      </x:c>
      <x:c r="L10" s="17" t="s">
        <x:v>14</x:v>
      </x:c>
      <x:c r="M10" s="17"/>
      <x:c r="N10" s="17"/>
      <x:c r="O10" s="23" t="s">
        <x:v>44</x:v>
      </x:c>
    </x:row>
    <x:row r="11" spans="1:15" ht="16.5" customHeight="1">
      <x:c r="A11" s="1"/>
      <x:c r="B11" s="53"/>
      <x:c r="C11" s="11" t="s">
        <x:v>11</x:v>
      </x:c>
      <x:c r="D11" s="12"/>
      <x:c r="E11" s="12"/>
      <x:c r="F11" s="12"/>
      <x:c r="G11" s="12"/>
      <x:c r="I11" s="1"/>
      <x:c r="J11" s="17">
        <x:v>6</x:v>
      </x:c>
      <x:c r="K11" s="17" t="s">
        <x:v>59</x:v>
      </x:c>
      <x:c r="L11" s="17" t="s">
        <x:v>46</x:v>
      </x:c>
      <x:c r="M11" s="17"/>
      <x:c r="N11" s="17"/>
      <x:c r="O11" s="23" t="s">
        <x:v>30</x:v>
      </x:c>
    </x:row>
    <x:row r="12" spans="1:15" ht="16.5" customHeight="1">
      <x:c r="A12" s="1"/>
      <x:c r="B12" s="53"/>
      <x:c r="C12" s="11" t="s">
        <x:v>6</x:v>
      </x:c>
      <x:c r="D12" s="15">
        <x:v>43000000</x:v>
      </x:c>
      <x:c r="E12" s="15">
        <x:v>39000000</x:v>
      </x:c>
      <x:c r="F12" s="15">
        <x:v>40320000</x:v>
      </x:c>
      <x:c r="G12" s="15">
        <x:v>33000000</x:v>
      </x:c>
      <x:c r="I12" s="1"/>
      <x:c r="J12" s="17">
        <x:v>7</x:v>
      </x:c>
      <x:c r="K12" s="17" t="s">
        <x:v>57</x:v>
      </x:c>
      <x:c r="L12" s="17" t="s">
        <x:v>76</x:v>
      </x:c>
      <x:c r="M12" s="17" t="s">
        <x:v>73</x:v>
      </x:c>
      <x:c r="N12" s="17"/>
      <x:c r="O12" s="17"/>
    </x:row>
    <x:row r="13" spans="1:15" ht="16.5" customHeight="1">
      <x:c r="A13" s="1"/>
      <x:c r="B13" s="54"/>
      <x:c r="C13" s="11" t="s">
        <x:v>19</x:v>
      </x:c>
      <x:c r="D13" s="12"/>
      <x:c r="E13" s="12"/>
      <x:c r="F13" s="12"/>
      <x:c r="G13" s="12"/>
      <x:c r="I13" s="1"/>
      <x:c r="J13" s="17">
        <x:v>8</x:v>
      </x:c>
      <x:c r="K13" s="17" t="s">
        <x:v>15</x:v>
      </x:c>
      <x:c r="L13" s="17" t="s">
        <x:v>16</x:v>
      </x:c>
      <x:c r="M13" s="17" t="s">
        <x:v>4</x:v>
      </x:c>
      <x:c r="N13" s="17"/>
      <x:c r="O13" s="23" t="s">
        <x:v>43</x:v>
      </x:c>
    </x:row>
    <x:row r="14" spans="1:15" ht="16.5" customHeight="1">
      <x:c r="A14" s="1"/>
      <x:c r="B14" s="1"/>
      <x:c r="C14" s="1"/>
      <x:c r="D14" s="1"/>
      <x:c r="E14" s="1"/>
      <x:c r="F14" s="1"/>
      <x:c r="G14" s="1"/>
      <x:c r="I14" s="1"/>
      <x:c r="J14" s="17">
        <x:v>9</x:v>
      </x:c>
      <x:c r="K14" s="24" t="s">
        <x:v>1</x:v>
      </x:c>
      <x:c r="L14" s="17" t="s">
        <x:v>3</x:v>
      </x:c>
      <x:c r="M14" s="17" t="s">
        <x:v>48</x:v>
      </x:c>
      <x:c r="N14" s="17"/>
      <x:c r="O14" s="23" t="s">
        <x:v>41</x:v>
      </x:c>
    </x:row>
    <x:row r="15" spans="1:15" ht="16.5" customHeight="1">
      <x:c r="A15" s="1"/>
      <x:c r="B15" s="52" t="s">
        <x:v>51</x:v>
      </x:c>
      <x:c r="C15" s="4"/>
      <x:c r="D15" s="55" t="s">
        <x:v>62</x:v>
      </x:c>
      <x:c r="E15" s="56"/>
      <x:c r="F15" s="56"/>
      <x:c r="G15" s="57"/>
      <x:c r="I15" s="1"/>
      <x:c r="J15" s="17">
        <x:v>10</x:v>
      </x:c>
      <x:c r="K15" s="17" t="s">
        <x:v>25</x:v>
      </x:c>
      <x:c r="L15" s="17"/>
      <x:c r="M15" s="17"/>
      <x:c r="N15" s="17"/>
      <x:c r="O15" s="17"/>
    </x:row>
    <x:row r="16" spans="1:12" ht="16.5" customHeight="1">
      <x:c r="A16" s="1"/>
      <x:c r="B16" s="53"/>
      <x:c r="C16" s="4" t="s">
        <x:v>12</x:v>
      </x:c>
      <x:c r="D16" s="27" t="s">
        <x:v>5</x:v>
      </x:c>
      <x:c r="E16" s="28" t="s">
        <x:v>40</x:v>
      </x:c>
      <x:c r="F16" s="28" t="s">
        <x:v>36</x:v>
      </x:c>
      <x:c r="G16" s="28" t="s">
        <x:v>35</x:v>
      </x:c>
      <x:c r="I16" s="1"/>
      <x:c r="J16" s="1"/>
      <x:c r="K16" s="1"/>
      <x:c r="L16" s="1"/>
    </x:row>
    <x:row r="17" spans="1:12" ht="16.5" customHeight="1">
      <x:c r="A17" s="1"/>
      <x:c r="B17" s="53"/>
      <x:c r="C17" s="4" t="s">
        <x:v>18</x:v>
      </x:c>
      <x:c r="D17" s="31"/>
      <x:c r="E17" s="32"/>
      <x:c r="F17" s="32"/>
      <x:c r="G17" s="33"/>
      <x:c r="I17" s="1"/>
      <x:c r="J17" s="1"/>
      <x:c r="K17" s="1"/>
      <x:c r="L17" s="1"/>
    </x:row>
    <x:row r="18" spans="1:12" ht="16.5" customHeight="1">
      <x:c r="A18" s="1"/>
      <x:c r="B18" s="53"/>
      <x:c r="C18" s="4" t="s">
        <x:v>2</x:v>
      </x:c>
      <x:c r="D18" s="31"/>
      <x:c r="E18" s="32"/>
      <x:c r="F18" s="32"/>
      <x:c r="G18" s="33"/>
      <x:c r="I18" s="1"/>
      <x:c r="J18" s="1"/>
      <x:c r="K18" s="1"/>
      <x:c r="L18" s="1"/>
    </x:row>
    <x:row r="19" spans="1:12" ht="16.5" customHeight="1">
      <x:c r="A19" s="1"/>
      <x:c r="B19" s="53"/>
      <x:c r="C19" s="4" t="s">
        <x:v>11</x:v>
      </x:c>
      <x:c r="D19" s="31"/>
      <x:c r="E19" s="32"/>
      <x:c r="F19" s="32"/>
      <x:c r="G19" s="33"/>
      <x:c r="I19" s="1"/>
      <x:c r="J19" s="1"/>
      <x:c r="K19" s="1"/>
      <x:c r="L19" s="1"/>
    </x:row>
    <x:row r="20" spans="1:12" ht="16.5" customHeight="1">
      <x:c r="A20" s="1"/>
      <x:c r="B20" s="53"/>
      <x:c r="C20" s="4" t="s">
        <x:v>6</x:v>
      </x:c>
      <x:c r="D20" s="31"/>
      <x:c r="E20" s="32"/>
      <x:c r="F20" s="32"/>
      <x:c r="G20" s="33"/>
      <x:c r="I20" s="1"/>
      <x:c r="J20" s="1"/>
      <x:c r="K20" s="1"/>
      <x:c r="L20" s="1"/>
    </x:row>
    <x:row r="21" spans="1:12" ht="16.5" customHeight="1">
      <x:c r="A21" s="1"/>
      <x:c r="B21" s="54"/>
      <x:c r="C21" s="4" t="s">
        <x:v>19</x:v>
      </x:c>
      <x:c r="D21" s="31"/>
      <x:c r="E21" s="32"/>
      <x:c r="F21" s="32"/>
      <x:c r="G21" s="33"/>
      <x:c r="I21" s="1"/>
      <x:c r="J21" s="1"/>
      <x:c r="K21" s="1"/>
      <x:c r="L21" s="1"/>
    </x:row>
    <x:row r="22" spans="1:12" ht="16.5" customHeight="1">
      <x:c r="A22" s="1"/>
      <x:c r="B22" s="52" t="s">
        <x:v>55</x:v>
      </x:c>
      <x:c r="C22" s="4"/>
      <x:c r="D22" s="55" t="s">
        <x:v>62</x:v>
      </x:c>
      <x:c r="E22" s="56"/>
      <x:c r="F22" s="56"/>
      <x:c r="G22" s="57"/>
      <x:c r="I22" s="1"/>
      <x:c r="J22" s="1"/>
      <x:c r="K22" s="1"/>
      <x:c r="L22" s="1"/>
    </x:row>
    <x:row r="23" spans="1:12" ht="16.5" customHeight="1">
      <x:c r="A23" s="1"/>
      <x:c r="B23" s="53"/>
      <x:c r="C23" s="4" t="s">
        <x:v>12</x:v>
      </x:c>
      <x:c r="D23" s="27" t="s">
        <x:v>5</x:v>
      </x:c>
      <x:c r="E23" s="28" t="s">
        <x:v>40</x:v>
      </x:c>
      <x:c r="F23" s="28" t="s">
        <x:v>36</x:v>
      </x:c>
      <x:c r="G23" s="28" t="s">
        <x:v>35</x:v>
      </x:c>
      <x:c r="I23" s="1"/>
      <x:c r="J23" s="1"/>
      <x:c r="K23" s="1"/>
      <x:c r="L23" s="1"/>
    </x:row>
    <x:row r="24" spans="1:12" ht="16.5" customHeight="1">
      <x:c r="A24" s="1"/>
      <x:c r="B24" s="53"/>
      <x:c r="C24" s="4" t="s">
        <x:v>18</x:v>
      </x:c>
      <x:c r="D24" s="31"/>
      <x:c r="E24" s="32"/>
      <x:c r="F24" s="32"/>
      <x:c r="G24" s="33"/>
      <x:c r="I24" s="1"/>
      <x:c r="J24" s="1"/>
      <x:c r="K24" s="1"/>
      <x:c r="L24" s="1"/>
    </x:row>
    <x:row r="25" spans="1:12" ht="16.5" customHeight="1">
      <x:c r="A25" s="1"/>
      <x:c r="B25" s="53"/>
      <x:c r="C25" s="4" t="s">
        <x:v>2</x:v>
      </x:c>
      <x:c r="D25" s="31"/>
      <x:c r="E25" s="32"/>
      <x:c r="F25" s="32"/>
      <x:c r="G25" s="33"/>
      <x:c r="I25" s="1"/>
      <x:c r="J25" s="1"/>
      <x:c r="K25" s="1"/>
      <x:c r="L25" s="1"/>
    </x:row>
    <x:row r="26" spans="1:12" ht="16.5" customHeight="1">
      <x:c r="A26" s="1"/>
      <x:c r="B26" s="53"/>
      <x:c r="C26" s="4" t="s">
        <x:v>11</x:v>
      </x:c>
      <x:c r="D26" s="31"/>
      <x:c r="E26" s="32"/>
      <x:c r="F26" s="32"/>
      <x:c r="G26" s="33"/>
      <x:c r="I26" s="1"/>
      <x:c r="J26" s="1"/>
      <x:c r="K26" s="1"/>
      <x:c r="L26" s="1"/>
    </x:row>
    <x:row r="27" spans="1:12" ht="16.5" customHeight="1">
      <x:c r="A27" s="1"/>
      <x:c r="B27" s="53"/>
      <x:c r="C27" s="4" t="s">
        <x:v>6</x:v>
      </x:c>
      <x:c r="D27" s="31"/>
      <x:c r="E27" s="32"/>
      <x:c r="F27" s="32"/>
      <x:c r="G27" s="33"/>
      <x:c r="I27" s="1"/>
      <x:c r="J27" s="1"/>
      <x:c r="K27" s="1"/>
      <x:c r="L27" s="1"/>
    </x:row>
    <x:row r="28" spans="1:12" ht="16.5" customHeight="1">
      <x:c r="A28" s="1"/>
      <x:c r="B28" s="54"/>
      <x:c r="C28" s="4" t="s">
        <x:v>19</x:v>
      </x:c>
      <x:c r="D28" s="31"/>
      <x:c r="E28" s="32"/>
      <x:c r="F28" s="32"/>
      <x:c r="G28" s="33"/>
      <x:c r="I28" s="1"/>
      <x:c r="J28" s="1"/>
      <x:c r="K28" s="1"/>
      <x:c r="L28" s="1"/>
    </x:row>
    <x:row r="29" spans="1:12" ht="16.5" customHeight="1">
      <x:c r="A29" s="1"/>
      <x:c r="B29" s="52" t="s">
        <x:v>50</x:v>
      </x:c>
      <x:c r="C29" s="4"/>
      <x:c r="D29" s="55" t="s">
        <x:v>62</x:v>
      </x:c>
      <x:c r="E29" s="56"/>
      <x:c r="F29" s="56"/>
      <x:c r="G29" s="57"/>
      <x:c r="I29" s="1"/>
      <x:c r="J29" s="1"/>
      <x:c r="K29" s="1"/>
      <x:c r="L29" s="1"/>
    </x:row>
    <x:row r="30" spans="1:12" ht="16.5" customHeight="1">
      <x:c r="A30" s="1"/>
      <x:c r="B30" s="53"/>
      <x:c r="C30" s="4" t="s">
        <x:v>12</x:v>
      </x:c>
      <x:c r="D30" s="27" t="s">
        <x:v>5</x:v>
      </x:c>
      <x:c r="E30" s="28" t="s">
        <x:v>40</x:v>
      </x:c>
      <x:c r="F30" s="28" t="s">
        <x:v>36</x:v>
      </x:c>
      <x:c r="G30" s="28" t="s">
        <x:v>35</x:v>
      </x:c>
      <x:c r="I30" s="1"/>
      <x:c r="J30" s="1"/>
      <x:c r="K30" s="1"/>
      <x:c r="L30" s="1"/>
    </x:row>
    <x:row r="31" spans="1:12" ht="16.5" customHeight="1">
      <x:c r="A31" s="1"/>
      <x:c r="B31" s="53"/>
      <x:c r="C31" s="4" t="s">
        <x:v>18</x:v>
      </x:c>
      <x:c r="D31" s="31"/>
      <x:c r="E31" s="32"/>
      <x:c r="F31" s="32"/>
      <x:c r="G31" s="33"/>
      <x:c r="I31" s="1"/>
      <x:c r="J31" s="1"/>
      <x:c r="K31" s="1"/>
      <x:c r="L31" s="1"/>
    </x:row>
    <x:row r="32" spans="1:12" ht="16.5" customHeight="1">
      <x:c r="A32" s="1"/>
      <x:c r="B32" s="53"/>
      <x:c r="C32" s="4" t="s">
        <x:v>2</x:v>
      </x:c>
      <x:c r="D32" s="31"/>
      <x:c r="E32" s="32"/>
      <x:c r="F32" s="32"/>
      <x:c r="G32" s="33"/>
      <x:c r="I32" s="1"/>
      <x:c r="J32" s="1"/>
      <x:c r="K32" s="1"/>
      <x:c r="L32" s="1"/>
    </x:row>
    <x:row r="33" spans="1:12" ht="16.5" customHeight="1">
      <x:c r="A33" s="1"/>
      <x:c r="B33" s="53"/>
      <x:c r="C33" s="4" t="s">
        <x:v>11</x:v>
      </x:c>
      <x:c r="D33" s="31"/>
      <x:c r="E33" s="32"/>
      <x:c r="F33" s="32"/>
      <x:c r="G33" s="33"/>
      <x:c r="I33" s="1"/>
      <x:c r="J33" s="1"/>
      <x:c r="K33" s="1"/>
      <x:c r="L33" s="1"/>
    </x:row>
    <x:row r="34" spans="1:12" ht="16.5" customHeight="1">
      <x:c r="A34" s="1"/>
      <x:c r="B34" s="53"/>
      <x:c r="C34" s="4" t="s">
        <x:v>6</x:v>
      </x:c>
      <x:c r="D34" s="31"/>
      <x:c r="E34" s="32"/>
      <x:c r="F34" s="32"/>
      <x:c r="G34" s="33"/>
      <x:c r="I34" s="1"/>
      <x:c r="J34" s="1"/>
      <x:c r="K34" s="1"/>
      <x:c r="L34" s="1"/>
    </x:row>
    <x:row r="35" spans="1:12" ht="16.5" customHeight="1">
      <x:c r="A35" s="1"/>
      <x:c r="B35" s="54"/>
      <x:c r="C35" s="4" t="s">
        <x:v>19</x:v>
      </x:c>
      <x:c r="D35" s="31"/>
      <x:c r="E35" s="32"/>
      <x:c r="F35" s="32"/>
      <x:c r="G35" s="33"/>
      <x:c r="I35" s="1"/>
      <x:c r="J35" s="1"/>
      <x:c r="K35" s="1"/>
      <x:c r="L35" s="1"/>
    </x:row>
    <x:row r="36" spans="1:12" ht="16.5" customHeight="1">
      <x:c r="A36" s="1"/>
      <x:c r="B36" s="52" t="s">
        <x:v>58</x:v>
      </x:c>
      <x:c r="C36" s="4"/>
      <x:c r="D36" s="55" t="s">
        <x:v>62</x:v>
      </x:c>
      <x:c r="E36" s="56"/>
      <x:c r="F36" s="56"/>
      <x:c r="G36" s="57"/>
      <x:c r="I36" s="1"/>
      <x:c r="J36" s="1"/>
      <x:c r="K36" s="1"/>
      <x:c r="L36" s="1"/>
    </x:row>
    <x:row r="37" spans="1:12" ht="16.5" customHeight="1">
      <x:c r="A37" s="1"/>
      <x:c r="B37" s="53"/>
      <x:c r="C37" s="4" t="s">
        <x:v>12</x:v>
      </x:c>
      <x:c r="D37" s="27" t="s">
        <x:v>5</x:v>
      </x:c>
      <x:c r="E37" s="28" t="s">
        <x:v>40</x:v>
      </x:c>
      <x:c r="F37" s="28" t="s">
        <x:v>36</x:v>
      </x:c>
      <x:c r="G37" s="28" t="s">
        <x:v>35</x:v>
      </x:c>
      <x:c r="I37" s="1"/>
      <x:c r="J37" s="1"/>
      <x:c r="K37" s="1"/>
      <x:c r="L37" s="1"/>
    </x:row>
    <x:row r="38" spans="1:12" ht="16.5" customHeight="1">
      <x:c r="A38" s="1"/>
      <x:c r="B38" s="53"/>
      <x:c r="C38" s="4" t="s">
        <x:v>18</x:v>
      </x:c>
      <x:c r="D38" s="31"/>
      <x:c r="E38" s="32"/>
      <x:c r="F38" s="32"/>
      <x:c r="G38" s="33"/>
      <x:c r="I38" s="1"/>
      <x:c r="J38" s="1"/>
      <x:c r="K38" s="1"/>
      <x:c r="L38" s="1"/>
    </x:row>
    <x:row r="39" spans="1:12" ht="16.5" customHeight="1">
      <x:c r="A39" s="1"/>
      <x:c r="B39" s="53"/>
      <x:c r="C39" s="4" t="s">
        <x:v>2</x:v>
      </x:c>
      <x:c r="D39" s="31"/>
      <x:c r="E39" s="32"/>
      <x:c r="F39" s="32"/>
      <x:c r="G39" s="33"/>
      <x:c r="I39" s="1"/>
      <x:c r="J39" s="1"/>
      <x:c r="K39" s="1"/>
      <x:c r="L39" s="1"/>
    </x:row>
    <x:row r="40" spans="1:12" ht="16.5" customHeight="1">
      <x:c r="A40" s="1"/>
      <x:c r="B40" s="53"/>
      <x:c r="C40" s="4" t="s">
        <x:v>11</x:v>
      </x:c>
      <x:c r="D40" s="31"/>
      <x:c r="E40" s="32"/>
      <x:c r="F40" s="32"/>
      <x:c r="G40" s="33"/>
      <x:c r="I40" s="1"/>
      <x:c r="J40" s="1"/>
      <x:c r="K40" s="1"/>
      <x:c r="L40" s="1"/>
    </x:row>
    <x:row r="41" spans="1:12" ht="16.5" customHeight="1">
      <x:c r="A41" s="1"/>
      <x:c r="B41" s="53"/>
      <x:c r="C41" s="4" t="s">
        <x:v>6</x:v>
      </x:c>
      <x:c r="D41" s="31"/>
      <x:c r="E41" s="32"/>
      <x:c r="F41" s="32"/>
      <x:c r="G41" s="33"/>
      <x:c r="I41" s="1"/>
      <x:c r="J41" s="1"/>
      <x:c r="K41" s="1"/>
      <x:c r="L41" s="1"/>
    </x:row>
    <x:row r="42" spans="1:12" ht="16.5" customHeight="1">
      <x:c r="A42" s="1"/>
      <x:c r="B42" s="54"/>
      <x:c r="C42" s="4" t="s">
        <x:v>19</x:v>
      </x:c>
      <x:c r="D42" s="31"/>
      <x:c r="E42" s="32"/>
      <x:c r="F42" s="32"/>
      <x:c r="G42" s="33"/>
      <x:c r="I42" s="1"/>
      <x:c r="J42" s="1"/>
      <x:c r="K42" s="1"/>
      <x:c r="L42" s="1"/>
    </x:row>
    <x:row r="43" spans="1:12" ht="16.5" customHeight="1">
      <x:c r="A43" s="1"/>
      <x:c r="B43" s="52" t="s">
        <x:v>67</x:v>
      </x:c>
      <x:c r="C43" s="4"/>
      <x:c r="D43" s="55" t="s">
        <x:v>62</x:v>
      </x:c>
      <x:c r="E43" s="56"/>
      <x:c r="F43" s="56"/>
      <x:c r="G43" s="57"/>
      <x:c r="I43" s="1"/>
      <x:c r="J43" s="1"/>
      <x:c r="K43" s="1"/>
      <x:c r="L43" s="1"/>
    </x:row>
    <x:row r="44" spans="1:12" ht="16.5" customHeight="1">
      <x:c r="A44" s="1"/>
      <x:c r="B44" s="53"/>
      <x:c r="C44" s="4" t="s">
        <x:v>12</x:v>
      </x:c>
      <x:c r="D44" s="27" t="s">
        <x:v>5</x:v>
      </x:c>
      <x:c r="E44" s="28" t="s">
        <x:v>40</x:v>
      </x:c>
      <x:c r="F44" s="28" t="s">
        <x:v>36</x:v>
      </x:c>
      <x:c r="G44" s="28" t="s">
        <x:v>35</x:v>
      </x:c>
      <x:c r="I44" s="1"/>
      <x:c r="J44" s="1"/>
      <x:c r="K44" s="1"/>
      <x:c r="L44" s="1"/>
    </x:row>
    <x:row r="45" spans="1:12" ht="16.5" customHeight="1">
      <x:c r="A45" s="1"/>
      <x:c r="B45" s="53"/>
      <x:c r="C45" s="4" t="s">
        <x:v>18</x:v>
      </x:c>
      <x:c r="D45" s="31"/>
      <x:c r="E45" s="32"/>
      <x:c r="F45" s="32"/>
      <x:c r="G45" s="33"/>
      <x:c r="I45" s="1"/>
      <x:c r="J45" s="1"/>
      <x:c r="K45" s="1"/>
      <x:c r="L45" s="1"/>
    </x:row>
    <x:row r="46" spans="1:12" ht="16.5" customHeight="1">
      <x:c r="A46" s="1"/>
      <x:c r="B46" s="53"/>
      <x:c r="C46" s="4" t="s">
        <x:v>2</x:v>
      </x:c>
      <x:c r="D46" s="31"/>
      <x:c r="E46" s="32"/>
      <x:c r="F46" s="32"/>
      <x:c r="G46" s="33"/>
      <x:c r="I46" s="1"/>
      <x:c r="J46" s="1"/>
      <x:c r="K46" s="1"/>
      <x:c r="L46" s="1"/>
    </x:row>
    <x:row r="47" spans="1:12" ht="16.5" customHeight="1">
      <x:c r="A47" s="1"/>
      <x:c r="B47" s="53"/>
      <x:c r="C47" s="4" t="s">
        <x:v>11</x:v>
      </x:c>
      <x:c r="D47" s="31"/>
      <x:c r="E47" s="32"/>
      <x:c r="F47" s="32"/>
      <x:c r="G47" s="33"/>
      <x:c r="I47" s="1"/>
      <x:c r="J47" s="1"/>
      <x:c r="K47" s="1"/>
      <x:c r="L47" s="1"/>
    </x:row>
    <x:row r="48" spans="1:12" ht="16.5" customHeight="1">
      <x:c r="A48" s="1"/>
      <x:c r="B48" s="53"/>
      <x:c r="C48" s="4" t="s">
        <x:v>6</x:v>
      </x:c>
      <x:c r="D48" s="31"/>
      <x:c r="E48" s="32"/>
      <x:c r="F48" s="32"/>
      <x:c r="G48" s="33"/>
      <x:c r="I48" s="1"/>
      <x:c r="J48" s="1"/>
      <x:c r="K48" s="1"/>
      <x:c r="L48" s="1"/>
    </x:row>
    <x:row r="49" spans="1:12" ht="16.5" customHeight="1">
      <x:c r="A49" s="1"/>
      <x:c r="B49" s="54"/>
      <x:c r="C49" s="4" t="s">
        <x:v>19</x:v>
      </x:c>
      <x:c r="D49" s="31"/>
      <x:c r="E49" s="32"/>
      <x:c r="F49" s="32"/>
      <x:c r="G49" s="33"/>
      <x:c r="I49" s="1"/>
      <x:c r="J49" s="1"/>
      <x:c r="K49" s="1"/>
      <x:c r="L49" s="1"/>
    </x:row>
    <x:row r="50" spans="1:12" ht="16.5" customHeight="1">
      <x:c r="A50" s="1"/>
      <x:c r="B50" s="52" t="s">
        <x:v>57</x:v>
      </x:c>
      <x:c r="C50" s="4"/>
      <x:c r="D50" s="55" t="s">
        <x:v>62</x:v>
      </x:c>
      <x:c r="E50" s="56"/>
      <x:c r="F50" s="56"/>
      <x:c r="G50" s="57"/>
      <x:c r="I50" s="1"/>
      <x:c r="J50" s="1"/>
      <x:c r="K50" s="1"/>
      <x:c r="L50" s="1"/>
    </x:row>
    <x:row r="51" spans="1:12" ht="16.5" customHeight="1">
      <x:c r="A51" s="1"/>
      <x:c r="B51" s="53"/>
      <x:c r="C51" s="4" t="s">
        <x:v>12</x:v>
      </x:c>
      <x:c r="D51" s="27" t="s">
        <x:v>5</x:v>
      </x:c>
      <x:c r="E51" s="28" t="s">
        <x:v>40</x:v>
      </x:c>
      <x:c r="F51" s="28" t="s">
        <x:v>36</x:v>
      </x:c>
      <x:c r="G51" s="28" t="s">
        <x:v>35</x:v>
      </x:c>
      <x:c r="I51" s="1"/>
      <x:c r="J51" s="1"/>
      <x:c r="K51" s="1"/>
      <x:c r="L51" s="1"/>
    </x:row>
    <x:row r="52" spans="1:12" ht="16.5" customHeight="1">
      <x:c r="A52" s="1"/>
      <x:c r="B52" s="53"/>
      <x:c r="C52" s="4" t="s">
        <x:v>18</x:v>
      </x:c>
      <x:c r="D52" s="31"/>
      <x:c r="E52" s="32"/>
      <x:c r="F52" s="32"/>
      <x:c r="G52" s="33"/>
      <x:c r="I52" s="1"/>
      <x:c r="J52" s="1"/>
      <x:c r="K52" s="1"/>
      <x:c r="L52" s="1"/>
    </x:row>
    <x:row r="53" spans="1:12" ht="16.5" customHeight="1">
      <x:c r="A53" s="1"/>
      <x:c r="B53" s="53"/>
      <x:c r="C53" s="4" t="s">
        <x:v>2</x:v>
      </x:c>
      <x:c r="D53" s="31"/>
      <x:c r="E53" s="32"/>
      <x:c r="F53" s="32"/>
      <x:c r="G53" s="33"/>
      <x:c r="I53" s="1"/>
      <x:c r="J53" s="1"/>
      <x:c r="K53" s="1"/>
      <x:c r="L53" s="1"/>
    </x:row>
    <x:row r="54" spans="1:12" ht="16.5" customHeight="1">
      <x:c r="A54" s="1"/>
      <x:c r="B54" s="53"/>
      <x:c r="C54" s="4" t="s">
        <x:v>11</x:v>
      </x:c>
      <x:c r="D54" s="31"/>
      <x:c r="E54" s="32"/>
      <x:c r="F54" s="32"/>
      <x:c r="G54" s="33"/>
      <x:c r="I54" s="1"/>
      <x:c r="J54" s="1"/>
      <x:c r="K54" s="1"/>
      <x:c r="L54" s="1"/>
    </x:row>
    <x:row r="55" spans="1:12" ht="16.5" customHeight="1">
      <x:c r="A55" s="1"/>
      <x:c r="B55" s="53"/>
      <x:c r="C55" s="4" t="s">
        <x:v>6</x:v>
      </x:c>
      <x:c r="D55" s="31"/>
      <x:c r="E55" s="32"/>
      <x:c r="F55" s="32"/>
      <x:c r="G55" s="33"/>
      <x:c r="I55" s="1"/>
      <x:c r="J55" s="1"/>
      <x:c r="K55" s="1"/>
      <x:c r="L55" s="1"/>
    </x:row>
    <x:row r="56" spans="1:12" ht="16.5" customHeight="1">
      <x:c r="A56" s="1"/>
      <x:c r="B56" s="54"/>
      <x:c r="C56" s="4" t="s">
        <x:v>19</x:v>
      </x:c>
      <x:c r="D56" s="31"/>
      <x:c r="E56" s="32"/>
      <x:c r="F56" s="32"/>
      <x:c r="G56" s="33"/>
      <x:c r="I56" s="1"/>
      <x:c r="J56" s="1"/>
      <x:c r="K56" s="1"/>
      <x:c r="L56" s="1"/>
    </x:row>
    <x:row r="57" spans="1:12" ht="16.5" customHeight="1">
      <x:c r="A57" s="1"/>
      <x:c r="B57" s="52" t="s">
        <x:v>22</x:v>
      </x:c>
      <x:c r="C57" s="4"/>
      <x:c r="D57" s="55" t="s">
        <x:v>62</x:v>
      </x:c>
      <x:c r="E57" s="56"/>
      <x:c r="F57" s="56"/>
      <x:c r="G57" s="57"/>
      <x:c r="I57" s="1"/>
      <x:c r="J57" s="1"/>
      <x:c r="K57" s="1"/>
      <x:c r="L57" s="1"/>
    </x:row>
    <x:row r="58" spans="1:12" ht="16.5" customHeight="1">
      <x:c r="A58" s="1"/>
      <x:c r="B58" s="53"/>
      <x:c r="C58" s="4" t="s">
        <x:v>12</x:v>
      </x:c>
      <x:c r="D58" s="27" t="s">
        <x:v>5</x:v>
      </x:c>
      <x:c r="E58" s="28" t="s">
        <x:v>40</x:v>
      </x:c>
      <x:c r="F58" s="28" t="s">
        <x:v>36</x:v>
      </x:c>
      <x:c r="G58" s="28" t="s">
        <x:v>35</x:v>
      </x:c>
      <x:c r="I58" s="1"/>
      <x:c r="J58" s="1"/>
      <x:c r="K58" s="1"/>
      <x:c r="L58" s="1"/>
    </x:row>
    <x:row r="59" spans="1:12" ht="16.5" customHeight="1">
      <x:c r="A59" s="1"/>
      <x:c r="B59" s="53"/>
      <x:c r="C59" s="4" t="s">
        <x:v>18</x:v>
      </x:c>
      <x:c r="D59" s="50"/>
      <x:c r="E59" s="4"/>
      <x:c r="F59" s="4"/>
      <x:c r="G59" s="51"/>
      <x:c r="I59" s="1"/>
      <x:c r="J59" s="1"/>
      <x:c r="K59" s="1"/>
      <x:c r="L59" s="1"/>
    </x:row>
    <x:row r="60" spans="1:12" ht="16.5" customHeight="1">
      <x:c r="A60" s="1"/>
      <x:c r="B60" s="53"/>
      <x:c r="C60" s="4" t="s">
        <x:v>2</x:v>
      </x:c>
      <x:c r="D60" s="50"/>
      <x:c r="E60" s="4"/>
      <x:c r="F60" s="4"/>
      <x:c r="G60" s="51"/>
      <x:c r="I60" s="1"/>
      <x:c r="J60" s="1"/>
      <x:c r="K60" s="1"/>
      <x:c r="L60" s="1"/>
    </x:row>
    <x:row r="61" spans="1:12" ht="16.5" customHeight="1">
      <x:c r="A61" s="1"/>
      <x:c r="B61" s="53"/>
      <x:c r="C61" s="4" t="s">
        <x:v>11</x:v>
      </x:c>
      <x:c r="D61" s="50"/>
      <x:c r="E61" s="4"/>
      <x:c r="F61" s="4"/>
      <x:c r="G61" s="51"/>
      <x:c r="I61" s="1"/>
      <x:c r="J61" s="1"/>
      <x:c r="K61" s="1"/>
      <x:c r="L61" s="1"/>
    </x:row>
    <x:row r="62" spans="1:12" ht="16.5" customHeight="1">
      <x:c r="A62" s="1"/>
      <x:c r="B62" s="53"/>
      <x:c r="C62" s="4" t="s">
        <x:v>6</x:v>
      </x:c>
      <x:c r="D62" s="50"/>
      <x:c r="E62" s="4"/>
      <x:c r="F62" s="4"/>
      <x:c r="G62" s="51"/>
      <x:c r="I62" s="1"/>
      <x:c r="J62" s="1"/>
      <x:c r="K62" s="1"/>
      <x:c r="L62" s="1"/>
    </x:row>
    <x:row r="63" spans="1:12" ht="16.5" customHeight="1">
      <x:c r="A63" s="1"/>
      <x:c r="B63" s="54"/>
      <x:c r="C63" s="4" t="s">
        <x:v>19</x:v>
      </x:c>
      <x:c r="D63" s="50"/>
      <x:c r="E63" s="4"/>
      <x:c r="F63" s="4"/>
      <x:c r="G63" s="51"/>
      <x:c r="I63" s="1"/>
      <x:c r="J63" s="1"/>
      <x:c r="K63" s="1"/>
      <x:c r="L63" s="1"/>
    </x:row>
    <x:row r="64" spans="1:12" ht="16.5" customHeight="1">
      <x:c r="A64" s="1"/>
      <x:c r="B64" s="52" t="s">
        <x:v>59</x:v>
      </x:c>
      <x:c r="C64" s="4"/>
      <x:c r="D64" s="55" t="s">
        <x:v>62</x:v>
      </x:c>
      <x:c r="E64" s="56"/>
      <x:c r="F64" s="56"/>
      <x:c r="G64" s="57"/>
      <x:c r="I64" s="1"/>
      <x:c r="J64" s="1"/>
      <x:c r="K64" s="1"/>
      <x:c r="L64" s="1"/>
    </x:row>
    <x:row r="65" spans="1:12" ht="16.5" customHeight="1">
      <x:c r="A65" s="1"/>
      <x:c r="B65" s="53"/>
      <x:c r="C65" s="4" t="s">
        <x:v>12</x:v>
      </x:c>
      <x:c r="D65" s="27" t="s">
        <x:v>5</x:v>
      </x:c>
      <x:c r="E65" s="28" t="s">
        <x:v>40</x:v>
      </x:c>
      <x:c r="F65" s="28" t="s">
        <x:v>36</x:v>
      </x:c>
      <x:c r="G65" s="28" t="s">
        <x:v>35</x:v>
      </x:c>
      <x:c r="I65" s="1"/>
      <x:c r="J65" s="1"/>
      <x:c r="K65" s="1"/>
      <x:c r="L65" s="1"/>
    </x:row>
    <x:row r="66" spans="1:12" ht="16.5" customHeight="1">
      <x:c r="A66" s="1"/>
      <x:c r="B66" s="53"/>
      <x:c r="C66" s="4" t="s">
        <x:v>18</x:v>
      </x:c>
      <x:c r="D66" s="50"/>
      <x:c r="E66" s="4"/>
      <x:c r="F66" s="4"/>
      <x:c r="G66" s="51"/>
      <x:c r="I66" s="1"/>
      <x:c r="J66" s="1"/>
      <x:c r="K66" s="1"/>
      <x:c r="L66" s="1"/>
    </x:row>
    <x:row r="67" spans="1:12" ht="16.5" customHeight="1">
      <x:c r="A67" s="1"/>
      <x:c r="B67" s="53"/>
      <x:c r="C67" s="4" t="s">
        <x:v>2</x:v>
      </x:c>
      <x:c r="D67" s="50"/>
      <x:c r="E67" s="4"/>
      <x:c r="F67" s="4"/>
      <x:c r="G67" s="51"/>
      <x:c r="I67" s="1"/>
      <x:c r="J67" s="1"/>
      <x:c r="K67" s="1"/>
      <x:c r="L67" s="1"/>
    </x:row>
    <x:row r="68" spans="1:12" ht="16.5" customHeight="1">
      <x:c r="A68" s="1"/>
      <x:c r="B68" s="53"/>
      <x:c r="C68" s="4" t="s">
        <x:v>11</x:v>
      </x:c>
      <x:c r="D68" s="50"/>
      <x:c r="E68" s="4"/>
      <x:c r="F68" s="4"/>
      <x:c r="G68" s="51"/>
      <x:c r="I68" s="1"/>
      <x:c r="J68" s="1"/>
      <x:c r="K68" s="1"/>
      <x:c r="L68" s="1"/>
    </x:row>
    <x:row r="69" spans="1:12" ht="16.5" customHeight="1">
      <x:c r="A69" s="1"/>
      <x:c r="B69" s="53"/>
      <x:c r="C69" s="4" t="s">
        <x:v>6</x:v>
      </x:c>
      <x:c r="D69" s="50"/>
      <x:c r="E69" s="4"/>
      <x:c r="F69" s="4"/>
      <x:c r="G69" s="51"/>
      <x:c r="I69" s="1"/>
      <x:c r="J69" s="1"/>
      <x:c r="K69" s="1"/>
      <x:c r="L69" s="1"/>
    </x:row>
    <x:row r="70" spans="1:12" ht="16.5" customHeight="1">
      <x:c r="A70" s="1"/>
      <x:c r="B70" s="54"/>
      <x:c r="C70" s="4" t="s">
        <x:v>19</x:v>
      </x:c>
      <x:c r="D70" s="50"/>
      <x:c r="E70" s="4"/>
      <x:c r="F70" s="4"/>
      <x:c r="G70" s="51"/>
      <x:c r="I70" s="1"/>
      <x:c r="J70" s="1"/>
      <x:c r="K70" s="1"/>
      <x:c r="L70" s="1"/>
    </x:row>
    <x:row r="71" spans="1:12" ht="16.5" customHeight="1">
      <x:c r="A71" s="1"/>
      <x:c r="B71" s="52" t="s">
        <x:v>15</x:v>
      </x:c>
      <x:c r="C71" s="4"/>
      <x:c r="D71" s="55" t="s">
        <x:v>62</x:v>
      </x:c>
      <x:c r="E71" s="56"/>
      <x:c r="F71" s="56"/>
      <x:c r="G71" s="57"/>
      <x:c r="I71" s="1"/>
      <x:c r="J71" s="1"/>
      <x:c r="K71" s="1"/>
      <x:c r="L71" s="1"/>
    </x:row>
    <x:row r="72" spans="1:12" ht="16.5" customHeight="1">
      <x:c r="A72" s="1"/>
      <x:c r="B72" s="53"/>
      <x:c r="C72" s="4" t="s">
        <x:v>12</x:v>
      </x:c>
      <x:c r="D72" s="27" t="s">
        <x:v>5</x:v>
      </x:c>
      <x:c r="E72" s="28" t="s">
        <x:v>40</x:v>
      </x:c>
      <x:c r="F72" s="28" t="s">
        <x:v>36</x:v>
      </x:c>
      <x:c r="G72" s="28" t="s">
        <x:v>35</x:v>
      </x:c>
      <x:c r="I72" s="1"/>
      <x:c r="J72" s="1"/>
      <x:c r="K72" s="1"/>
      <x:c r="L72" s="1"/>
    </x:row>
    <x:row r="73" spans="1:12" ht="16.5" customHeight="1">
      <x:c r="A73" s="1"/>
      <x:c r="B73" s="53"/>
      <x:c r="C73" s="4" t="s">
        <x:v>18</x:v>
      </x:c>
      <x:c r="D73" s="50"/>
      <x:c r="E73" s="4"/>
      <x:c r="F73" s="4"/>
      <x:c r="G73" s="51"/>
      <x:c r="I73" s="1"/>
      <x:c r="J73" s="1"/>
      <x:c r="K73" s="1"/>
      <x:c r="L73" s="1"/>
    </x:row>
    <x:row r="74" spans="1:12" ht="16.5" customHeight="1">
      <x:c r="A74" s="1"/>
      <x:c r="B74" s="53"/>
      <x:c r="C74" s="4" t="s">
        <x:v>2</x:v>
      </x:c>
      <x:c r="D74" s="50"/>
      <x:c r="E74" s="4"/>
      <x:c r="F74" s="4"/>
      <x:c r="G74" s="51"/>
      <x:c r="I74" s="1"/>
      <x:c r="J74" s="1"/>
      <x:c r="K74" s="1"/>
      <x:c r="L74" s="1"/>
    </x:row>
    <x:row r="75" spans="1:12" ht="16.5" customHeight="1">
      <x:c r="A75" s="1"/>
      <x:c r="B75" s="53"/>
      <x:c r="C75" s="4" t="s">
        <x:v>11</x:v>
      </x:c>
      <x:c r="D75" s="50"/>
      <x:c r="E75" s="4"/>
      <x:c r="F75" s="4"/>
      <x:c r="G75" s="51"/>
      <x:c r="I75" s="1"/>
      <x:c r="J75" s="1"/>
      <x:c r="K75" s="1"/>
      <x:c r="L75" s="1"/>
    </x:row>
    <x:row r="76" spans="1:12" ht="16.5" customHeight="1">
      <x:c r="A76" s="1"/>
      <x:c r="B76" s="53"/>
      <x:c r="C76" s="4" t="s">
        <x:v>6</x:v>
      </x:c>
      <x:c r="D76" s="50"/>
      <x:c r="E76" s="4"/>
      <x:c r="F76" s="4"/>
      <x:c r="G76" s="51"/>
      <x:c r="I76" s="1"/>
      <x:c r="J76" s="1"/>
      <x:c r="K76" s="1"/>
      <x:c r="L76" s="1"/>
    </x:row>
    <x:row r="77" spans="1:12" ht="16.5" customHeight="1">
      <x:c r="A77" s="1"/>
      <x:c r="B77" s="54"/>
      <x:c r="C77" s="4" t="s">
        <x:v>19</x:v>
      </x:c>
      <x:c r="D77" s="50"/>
      <x:c r="E77" s="4"/>
      <x:c r="F77" s="4"/>
      <x:c r="G77" s="51"/>
      <x:c r="I77" s="1"/>
      <x:c r="J77" s="1"/>
      <x:c r="K77" s="1"/>
      <x:c r="L77" s="1"/>
    </x:row>
    <x:row r="78" spans="1:12" ht="16.5" customHeight="1">
      <x:c r="A78" s="1"/>
      <x:c r="B78" s="52" t="s">
        <x:v>1</x:v>
      </x:c>
      <x:c r="C78" s="4"/>
      <x:c r="D78" s="55" t="s">
        <x:v>62</x:v>
      </x:c>
      <x:c r="E78" s="56"/>
      <x:c r="F78" s="56"/>
      <x:c r="G78" s="57"/>
      <x:c r="I78" s="1"/>
      <x:c r="J78" s="1"/>
      <x:c r="K78" s="1"/>
      <x:c r="L78" s="1"/>
    </x:row>
    <x:row r="79" spans="1:12" ht="16.5" customHeight="1">
      <x:c r="A79" s="1"/>
      <x:c r="B79" s="53"/>
      <x:c r="C79" s="4" t="s">
        <x:v>12</x:v>
      </x:c>
      <x:c r="D79" s="27" t="s">
        <x:v>5</x:v>
      </x:c>
      <x:c r="E79" s="28" t="s">
        <x:v>40</x:v>
      </x:c>
      <x:c r="F79" s="28" t="s">
        <x:v>36</x:v>
      </x:c>
      <x:c r="G79" s="28" t="s">
        <x:v>35</x:v>
      </x:c>
      <x:c r="I79" s="1"/>
      <x:c r="J79" s="1"/>
      <x:c r="K79" s="1"/>
      <x:c r="L79" s="1"/>
    </x:row>
    <x:row r="80" spans="1:12" ht="16.5" customHeight="1">
      <x:c r="A80" s="1"/>
      <x:c r="B80" s="53"/>
      <x:c r="C80" s="4" t="s">
        <x:v>18</x:v>
      </x:c>
      <x:c r="D80" s="50"/>
      <x:c r="E80" s="4"/>
      <x:c r="F80" s="4"/>
      <x:c r="G80" s="51"/>
      <x:c r="I80" s="1"/>
      <x:c r="J80" s="1"/>
      <x:c r="K80" s="1"/>
      <x:c r="L80" s="1"/>
    </x:row>
    <x:row r="81" spans="1:12" ht="16.5" customHeight="1">
      <x:c r="A81" s="1"/>
      <x:c r="B81" s="53"/>
      <x:c r="C81" s="4" t="s">
        <x:v>2</x:v>
      </x:c>
      <x:c r="D81" s="50"/>
      <x:c r="E81" s="4"/>
      <x:c r="F81" s="4"/>
      <x:c r="G81" s="51"/>
      <x:c r="I81" s="1"/>
      <x:c r="J81" s="1"/>
      <x:c r="K81" s="1"/>
      <x:c r="L81" s="1"/>
    </x:row>
    <x:row r="82" spans="1:12" ht="16.5" customHeight="1">
      <x:c r="A82" s="1"/>
      <x:c r="B82" s="53"/>
      <x:c r="C82" s="4" t="s">
        <x:v>11</x:v>
      </x:c>
      <x:c r="D82" s="50"/>
      <x:c r="E82" s="4"/>
      <x:c r="F82" s="4"/>
      <x:c r="G82" s="51"/>
      <x:c r="I82" s="1"/>
      <x:c r="J82" s="1"/>
      <x:c r="K82" s="1"/>
      <x:c r="L82" s="1"/>
    </x:row>
    <x:row r="83" spans="1:12" ht="16.5" customHeight="1">
      <x:c r="A83" s="1"/>
      <x:c r="B83" s="53"/>
      <x:c r="C83" s="4" t="s">
        <x:v>6</x:v>
      </x:c>
      <x:c r="D83" s="50"/>
      <x:c r="E83" s="4"/>
      <x:c r="F83" s="4"/>
      <x:c r="G83" s="51"/>
      <x:c r="I83" s="1"/>
      <x:c r="J83" s="1"/>
      <x:c r="K83" s="1"/>
      <x:c r="L83" s="1"/>
    </x:row>
    <x:row r="84" spans="1:12" ht="16.5" customHeight="1">
      <x:c r="A84" s="1"/>
      <x:c r="B84" s="54"/>
      <x:c r="C84" s="4" t="s">
        <x:v>19</x:v>
      </x:c>
      <x:c r="D84" s="50"/>
      <x:c r="E84" s="4"/>
      <x:c r="F84" s="4"/>
      <x:c r="G84" s="51"/>
      <x:c r="I84" s="1"/>
      <x:c r="J84" s="1"/>
      <x:c r="K84" s="1"/>
      <x:c r="L84" s="1"/>
    </x:row>
    <x:row r="85" spans="1:12" ht="16.5" customHeight="1">
      <x:c r="A85" s="1"/>
      <x:c r="B85" s="52" t="s">
        <x:v>25</x:v>
      </x:c>
      <x:c r="C85" s="4"/>
      <x:c r="D85" s="55" t="s">
        <x:v>62</x:v>
      </x:c>
      <x:c r="E85" s="56"/>
      <x:c r="F85" s="56"/>
      <x:c r="G85" s="57"/>
      <x:c r="I85" s="1"/>
      <x:c r="J85" s="1"/>
      <x:c r="K85" s="1"/>
      <x:c r="L85" s="1"/>
    </x:row>
    <x:row r="86" spans="1:12" ht="16.5" customHeight="1">
      <x:c r="A86" s="1"/>
      <x:c r="B86" s="53"/>
      <x:c r="C86" s="4" t="s">
        <x:v>12</x:v>
      </x:c>
      <x:c r="D86" s="27" t="s">
        <x:v>5</x:v>
      </x:c>
      <x:c r="E86" s="28" t="s">
        <x:v>40</x:v>
      </x:c>
      <x:c r="F86" s="28" t="s">
        <x:v>36</x:v>
      </x:c>
      <x:c r="G86" s="28" t="s">
        <x:v>35</x:v>
      </x:c>
      <x:c r="I86" s="1"/>
      <x:c r="J86" s="1"/>
      <x:c r="K86" s="1"/>
      <x:c r="L86" s="1"/>
    </x:row>
    <x:row r="87" spans="1:12" ht="16.5" customHeight="1">
      <x:c r="A87" s="1"/>
      <x:c r="B87" s="53"/>
      <x:c r="C87" s="4" t="s">
        <x:v>18</x:v>
      </x:c>
      <x:c r="D87" s="50"/>
      <x:c r="E87" s="4"/>
      <x:c r="F87" s="4"/>
      <x:c r="G87" s="51"/>
      <x:c r="I87" s="1"/>
      <x:c r="J87" s="1"/>
      <x:c r="K87" s="1"/>
      <x:c r="L87" s="1"/>
    </x:row>
    <x:row r="88" spans="1:12" ht="16.5" customHeight="1">
      <x:c r="A88" s="1"/>
      <x:c r="B88" s="53"/>
      <x:c r="C88" s="4" t="s">
        <x:v>2</x:v>
      </x:c>
      <x:c r="D88" s="50"/>
      <x:c r="E88" s="4"/>
      <x:c r="F88" s="4"/>
      <x:c r="G88" s="51"/>
      <x:c r="I88" s="1"/>
      <x:c r="J88" s="1"/>
      <x:c r="K88" s="1"/>
      <x:c r="L88" s="1"/>
    </x:row>
    <x:row r="89" spans="1:12" ht="16.5" customHeight="1">
      <x:c r="A89" s="1"/>
      <x:c r="B89" s="53"/>
      <x:c r="C89" s="4" t="s">
        <x:v>11</x:v>
      </x:c>
      <x:c r="D89" s="50"/>
      <x:c r="E89" s="4"/>
      <x:c r="F89" s="4"/>
      <x:c r="G89" s="51"/>
      <x:c r="I89" s="1"/>
      <x:c r="J89" s="1"/>
      <x:c r="K89" s="1"/>
      <x:c r="L89" s="1"/>
    </x:row>
    <x:row r="90" spans="1:12" ht="16.5" customHeight="1">
      <x:c r="A90" s="1"/>
      <x:c r="B90" s="53"/>
      <x:c r="C90" s="4" t="s">
        <x:v>6</x:v>
      </x:c>
      <x:c r="D90" s="50"/>
      <x:c r="E90" s="4"/>
      <x:c r="F90" s="4"/>
      <x:c r="G90" s="51"/>
      <x:c r="I90" s="1"/>
      <x:c r="J90" s="1"/>
      <x:c r="K90" s="1"/>
      <x:c r="L90" s="1"/>
    </x:row>
    <x:row r="91" spans="1:12" ht="16.5" customHeight="1">
      <x:c r="A91" s="1"/>
      <x:c r="B91" s="54"/>
      <x:c r="C91" s="4" t="s">
        <x:v>19</x:v>
      </x:c>
      <x:c r="D91" s="50"/>
      <x:c r="E91" s="4"/>
      <x:c r="F91" s="4"/>
      <x:c r="G91" s="51"/>
      <x:c r="I91" s="1"/>
      <x:c r="J91" s="1"/>
      <x:c r="K91" s="1"/>
      <x:c r="L91" s="1"/>
    </x:row>
    <x:row r="92" spans="1:12" ht="16.5" customHeight="1">
      <x:c r="A92" s="1"/>
      <x:c r="B92" s="1"/>
      <x:c r="C92" s="1"/>
      <x:c r="D92" s="1"/>
      <x:c r="E92" s="1"/>
      <x:c r="F92" s="1"/>
      <x:c r="G92" s="1"/>
      <x:c r="I92" s="1"/>
      <x:c r="J92" s="1"/>
      <x:c r="K92" s="1"/>
      <x:c r="L92" s="1"/>
    </x:row>
    <x:row r="93" spans="1:12" ht="16.5" customHeight="1">
      <x:c r="A93" s="1"/>
      <x:c r="B93" s="1"/>
      <x:c r="C93" s="1"/>
      <x:c r="D93" s="1"/>
      <x:c r="E93" s="1"/>
      <x:c r="F93" s="1"/>
      <x:c r="G93" s="1"/>
      <x:c r="I93" s="1"/>
      <x:c r="J93" s="1"/>
      <x:c r="K93" s="1"/>
      <x:c r="L93" s="1"/>
    </x:row>
    <x:row r="94" spans="1:12" ht="16.5" customHeight="1">
      <x:c r="A94" s="1"/>
      <x:c r="B94" s="1"/>
      <x:c r="C94" s="1"/>
      <x:c r="D94" s="1"/>
      <x:c r="E94" s="1"/>
      <x:c r="F94" s="1"/>
      <x:c r="G94" s="1"/>
      <x:c r="I94" s="1"/>
      <x:c r="J94" s="1"/>
      <x:c r="K94" s="1"/>
      <x:c r="L94" s="1"/>
    </x:row>
    <x:row r="95" spans="1:12" ht="16.5" customHeight="1">
      <x:c r="A95" s="1"/>
      <x:c r="B95" s="1"/>
      <x:c r="C95" s="1"/>
      <x:c r="D95" s="1"/>
      <x:c r="E95" s="1"/>
      <x:c r="F95" s="1"/>
      <x:c r="G95" s="1"/>
      <x:c r="I95" s="1"/>
      <x:c r="J95" s="1"/>
      <x:c r="K95" s="1"/>
      <x:c r="L95" s="1"/>
    </x:row>
    <x:row r="96" spans="1:12" ht="16.5" customHeight="1">
      <x:c r="A96" s="1"/>
      <x:c r="B96" s="1"/>
      <x:c r="C96" s="1"/>
      <x:c r="D96" s="1"/>
      <x:c r="E96" s="1"/>
      <x:c r="F96" s="1"/>
      <x:c r="G96" s="1"/>
      <x:c r="I96" s="1"/>
      <x:c r="J96" s="1"/>
      <x:c r="K96" s="1"/>
      <x:c r="L96" s="1"/>
    </x:row>
    <x:row r="97" spans="1:12" ht="16.5" customHeight="1">
      <x:c r="A97" s="1"/>
      <x:c r="B97" s="1"/>
      <x:c r="C97" s="1"/>
      <x:c r="D97" s="1"/>
      <x:c r="E97" s="1"/>
      <x:c r="F97" s="1"/>
      <x:c r="G97" s="1"/>
      <x:c r="I97" s="1"/>
      <x:c r="J97" s="1"/>
      <x:c r="K97" s="1"/>
      <x:c r="L97" s="1"/>
    </x:row>
    <x:row r="98" spans="1:12" ht="16.5" customHeight="1">
      <x:c r="A98" s="1"/>
      <x:c r="B98" s="1"/>
      <x:c r="C98" s="1"/>
      <x:c r="D98" s="1"/>
      <x:c r="E98" s="1"/>
      <x:c r="F98" s="1"/>
      <x:c r="G98" s="1"/>
      <x:c r="I98" s="1"/>
      <x:c r="J98" s="1"/>
      <x:c r="K98" s="1"/>
      <x:c r="L98" s="1"/>
    </x:row>
    <x:row r="99" spans="1:12" ht="16.5" customHeight="1">
      <x:c r="A99" s="1"/>
      <x:c r="B99" s="1"/>
      <x:c r="C99" s="1"/>
      <x:c r="D99" s="1"/>
      <x:c r="E99" s="1"/>
      <x:c r="F99" s="1"/>
      <x:c r="G99" s="1"/>
      <x:c r="I99" s="1"/>
      <x:c r="J99" s="1"/>
      <x:c r="K99" s="1"/>
      <x:c r="L99" s="1"/>
    </x:row>
    <x:row r="100" spans="1:12" ht="16.5" customHeight="1">
      <x:c r="A100" s="1"/>
      <x:c r="B100" s="1"/>
      <x:c r="C100" s="1"/>
      <x:c r="D100" s="1"/>
      <x:c r="E100" s="1"/>
      <x:c r="F100" s="1"/>
      <x:c r="G100" s="1"/>
      <x:c r="I100" s="1"/>
      <x:c r="J100" s="1"/>
      <x:c r="K100" s="1"/>
      <x:c r="L100" s="1"/>
    </x:row>
  </x:sheetData>
  <x:mergeCells count="24">
    <x:mergeCell ref="B78:B84"/>
    <x:mergeCell ref="D85:G85"/>
    <x:mergeCell ref="D78:G78"/>
    <x:mergeCell ref="B57:B63"/>
    <x:mergeCell ref="B64:B70"/>
    <x:mergeCell ref="B85:B91"/>
    <x:mergeCell ref="B50:B56"/>
    <x:mergeCell ref="B71:B77"/>
    <x:mergeCell ref="B15:B21"/>
    <x:mergeCell ref="B5:B13"/>
    <x:mergeCell ref="B36:B42"/>
    <x:mergeCell ref="B22:B28"/>
    <x:mergeCell ref="B43:B49"/>
    <x:mergeCell ref="B29:B35"/>
    <x:mergeCell ref="D50:G50"/>
    <x:mergeCell ref="D57:G57"/>
    <x:mergeCell ref="D71:G71"/>
    <x:mergeCell ref="D64:G64"/>
    <x:mergeCell ref="D15:G15"/>
    <x:mergeCell ref="D29:G29"/>
    <x:mergeCell ref="D5:G5"/>
    <x:mergeCell ref="D22:G22"/>
    <x:mergeCell ref="D36:G36"/>
    <x:mergeCell ref="D43:G43"/>
  </x:mergeCells>
  <x:hyperlinks>
    <x:hyperlink ref="O6:O6" r:id="rId1"/>
    <x:hyperlink ref="O7:O7" r:id="rId2"/>
    <x:hyperlink ref="O8:O8" r:id="rId3"/>
    <x:hyperlink ref="O10:O10" r:id="rId4"/>
    <x:hyperlink ref="O11:O11" r:id="rId5"/>
    <x:hyperlink ref="O13:O13" r:id="rId6"/>
    <x:hyperlink ref="O14:O14" r:id="rId7"/>
  </x:hyperlinks>
  <x:pageMargins left="0.69999998807907104492" right="0.69999998807907104492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A1"/>
  <x:sheetViews>
    <x:sheetView topLeftCell="A1" zoomScaleNormal="100" zoomScaleSheetLayoutView="180" workbookViewId="0">
      <x:selection activeCell="A1" activeCellId="0" sqref="A1:A1"/>
    </x:sheetView>
  </x:sheetViews>
  <x:sheetFormatPr defaultColWidth="14.4296875" defaultRowHeight="15" customHeight="1"/>
  <x:cols>
    <x:col min="1" max="11" width="8.70703125" customWidth="1"/>
  </x:cols>
  <x:sheetData>
    <x:row r="1" ht="16.5" customHeight="1"/>
    <x:row r="2" ht="16.5" customHeight="1"/>
    <x:row r="3" ht="16.5" customHeight="1"/>
    <x:row r="4" ht="16.5" customHeight="1"/>
    <x:row r="5" ht="16.5" customHeight="1"/>
    <x:row r="6" ht="16.5" customHeight="1"/>
    <x:row r="7" ht="16.5" customHeight="1"/>
    <x:row r="8" ht="16.5" customHeight="1"/>
    <x:row r="9" ht="16.5" customHeight="1"/>
    <x:row r="10" ht="16.5" customHeight="1"/>
    <x:row r="11" ht="16.5" customHeight="1"/>
    <x:row r="12" ht="16.5" customHeight="1"/>
    <x:row r="13" ht="16.5" customHeight="1"/>
    <x:row r="14" ht="16.5" customHeight="1"/>
    <x:row r="15" ht="16.5" customHeight="1"/>
    <x:row r="16" ht="16.5" customHeight="1"/>
    <x:row r="17" ht="16.5" customHeight="1"/>
    <x:row r="18" ht="16.5" customHeight="1"/>
    <x:row r="19" ht="16.5" customHeight="1"/>
    <x:row r="20" ht="16.5" customHeight="1"/>
    <x:row r="21" ht="16.5" customHeight="1"/>
    <x:row r="22" ht="16.5" customHeight="1"/>
    <x:row r="23" ht="16.5" customHeight="1"/>
    <x:row r="24" ht="16.5" customHeight="1"/>
    <x:row r="25" ht="16.5" customHeight="1"/>
    <x:row r="26" ht="16.5" customHeight="1"/>
    <x:row r="27" ht="16.5" customHeight="1"/>
    <x:row r="28" ht="16.5" customHeight="1"/>
    <x:row r="29" ht="16.5" customHeight="1"/>
    <x:row r="30" ht="16.5" customHeight="1"/>
    <x:row r="31" ht="16.5" customHeight="1"/>
    <x:row r="32" ht="16.5" customHeight="1"/>
    <x:row r="33" ht="16.5" customHeight="1"/>
    <x:row r="34" ht="16.5" customHeight="1"/>
    <x:row r="35" ht="16.5" customHeight="1"/>
    <x:row r="36" ht="16.5" customHeight="1"/>
    <x:row r="37" ht="16.5" customHeight="1"/>
    <x:row r="38" ht="16.5" customHeight="1"/>
    <x:row r="39" ht="16.5" customHeight="1"/>
    <x:row r="40" ht="16.5" customHeight="1"/>
    <x:row r="41" ht="16.5" customHeight="1"/>
    <x:row r="42" ht="16.5" customHeight="1"/>
    <x:row r="43" ht="16.5" customHeight="1"/>
    <x:row r="44" ht="16.5" customHeight="1"/>
    <x:row r="45" ht="16.5" customHeight="1"/>
    <x:row r="46" ht="16.5" customHeight="1"/>
    <x:row r="47" ht="16.5" customHeight="1"/>
    <x:row r="48" ht="16.5" customHeight="1"/>
    <x:row r="49" ht="16.5" customHeight="1"/>
    <x:row r="50" ht="16.5" customHeight="1"/>
    <x:row r="51" ht="16.5" customHeight="1"/>
    <x:row r="52" ht="16.5" customHeight="1"/>
    <x:row r="53" ht="16.5" customHeight="1"/>
    <x:row r="54" ht="16.5" customHeight="1"/>
    <x:row r="55" ht="16.5" customHeight="1"/>
    <x:row r="56" ht="16.5" customHeight="1"/>
    <x:row r="57" ht="16.5" customHeight="1"/>
    <x:row r="58" ht="16.5" customHeight="1"/>
    <x:row r="59" ht="16.5" customHeight="1"/>
    <x:row r="60" ht="16.5" customHeight="1"/>
    <x:row r="61" ht="16.5" customHeight="1"/>
    <x:row r="62" ht="16.5" customHeight="1"/>
    <x:row r="63" ht="16.5" customHeight="1"/>
    <x:row r="64" ht="16.5" customHeight="1"/>
    <x:row r="65" ht="16.5" customHeight="1"/>
    <x:row r="66" ht="16.5" customHeight="1"/>
    <x:row r="67" ht="16.5" customHeight="1"/>
    <x:row r="68" ht="16.5" customHeight="1"/>
    <x:row r="69" ht="16.5" customHeight="1"/>
    <x:row r="70" ht="16.5" customHeight="1"/>
    <x:row r="71" ht="16.5" customHeight="1"/>
    <x:row r="72" ht="16.5" customHeight="1"/>
    <x:row r="73" ht="16.5" customHeight="1"/>
    <x:row r="74" ht="16.5" customHeight="1"/>
    <x:row r="75" ht="16.5" customHeight="1"/>
    <x:row r="76" ht="16.5" customHeight="1"/>
    <x:row r="77" ht="16.5" customHeight="1"/>
    <x:row r="78" ht="16.5" customHeight="1"/>
    <x:row r="79" ht="16.5" customHeight="1"/>
    <x:row r="80" ht="16.5" customHeight="1"/>
    <x:row r="81" ht="16.5" customHeight="1"/>
    <x:row r="82" ht="16.5" customHeight="1"/>
    <x:row r="83" ht="16.5" customHeight="1"/>
    <x:row r="84" ht="16.5" customHeight="1"/>
    <x:row r="85" ht="16.5" customHeight="1"/>
    <x:row r="86" ht="16.5" customHeight="1"/>
    <x:row r="87" ht="16.5" customHeight="1"/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</x:sheetData>
  <x:pageMargins left="0.69999998807907104492" right="0.69999998807907104492" top="0.75" bottom="0.75" header="0" footer="0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시간당</vt:lpstr>
      <vt:lpstr>월 720시간기준</vt:lpstr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김해랑</dc:creator>
  <cp:lastModifiedBy>SM-F936N</cp:lastModifiedBy>
  <cp:revision>1</cp:revision>
  <dcterms:created xsi:type="dcterms:W3CDTF">2026-04-20T01:36:30.000</dcterms:created>
  <dcterms:modified xsi:type="dcterms:W3CDTF">2026-06-18T00:59:00.192</dcterms:modified>
  <cp:version>1000.0100.61</cp:version>
</cp:coreProperties>
</file>